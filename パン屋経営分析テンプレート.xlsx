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売上入力" sheetId="1" state="visible" r:id="rId1"/>
    <sheet name="02_商品マスタ" sheetId="2" state="visible" r:id="rId2"/>
    <sheet name="03_原価管理" sheetId="3" state="visible" r:id="rId3"/>
    <sheet name="04_廃棄入力" sheetId="4" state="visible" r:id="rId4"/>
    <sheet name="05_製造時間" sheetId="5" state="visible" r:id="rId5"/>
    <sheet name="06_人件費" sheetId="6" state="visible" r:id="rId6"/>
    <sheet name="07_分析ダッシュボード" sheetId="7" state="visible" r:id="rId7"/>
    <sheet name="08_改善提案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YYYY/MM/DD"/>
    <numFmt numFmtId="166" formatCode="#,##0;(#,##0);&quot;-&quot;"/>
    <numFmt numFmtId="167" formatCode="#,##0&quot;円&quot;;(#,##0&quot;円&quot;);&quot;-&quot;"/>
    <numFmt numFmtId="168" formatCode="0.0%"/>
    <numFmt numFmtId="169" formatCode="HH:MM"/>
    <numFmt numFmtId="170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2"/>
    </font>
    <font>
      <name val="Arial"/>
      <b val="1"/>
      <sz val="10"/>
    </font>
    <font>
      <name val="Arial"/>
      <sz val="10"/>
    </font>
    <font>
      <name val="Arial"/>
      <i val="1"/>
      <color rgb="001F3864"/>
      <sz val="10"/>
    </font>
  </fonts>
  <fills count="1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843C0C"/>
      </patternFill>
    </fill>
    <fill>
      <patternFill patternType="solid">
        <fgColor rgb="00C00000"/>
      </patternFill>
    </fill>
    <fill>
      <patternFill patternType="solid">
        <fgColor rgb="00FFF2F2"/>
      </patternFill>
    </fill>
    <fill>
      <patternFill patternType="solid">
        <fgColor rgb="00833C00"/>
      </patternFill>
    </fill>
    <fill>
      <patternFill patternType="solid">
        <fgColor rgb="004B0082"/>
      </patternFill>
    </fill>
    <fill>
      <patternFill patternType="solid">
        <fgColor rgb="00F5F0FF"/>
      </patternFill>
    </fill>
    <fill>
      <patternFill patternType="solid">
        <fgColor rgb="00E9EFF7"/>
      </patternFill>
    </fill>
    <fill>
      <patternFill patternType="solid">
        <fgColor rgb="00375623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EBF3FB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165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166" fontId="3" fillId="0" borderId="2" applyAlignment="1" pivotButton="0" quotePrefix="0" xfId="0">
      <alignment vertical="center"/>
    </xf>
    <xf numFmtId="167" fontId="3" fillId="0" borderId="2" applyAlignment="1" pivotButton="0" quotePrefix="0" xfId="0">
      <alignment vertical="center"/>
    </xf>
    <xf numFmtId="167" fontId="3" fillId="0" borderId="2" pivotButton="0" quotePrefix="0" xfId="0"/>
    <xf numFmtId="165" fontId="0" fillId="4" borderId="2" pivotButton="0" quotePrefix="0" xfId="0"/>
    <xf numFmtId="0" fontId="0" fillId="4" borderId="2" pivotButton="0" quotePrefix="0" xfId="0"/>
    <xf numFmtId="166" fontId="0" fillId="4" borderId="2" pivotButton="0" quotePrefix="0" xfId="0"/>
    <xf numFmtId="167" fontId="0" fillId="4" borderId="2" pivotButton="0" quotePrefix="0" xfId="0"/>
    <xf numFmtId="167" fontId="3" fillId="4" borderId="2" pivotButton="0" quotePrefix="0" xfId="0"/>
    <xf numFmtId="0" fontId="2" fillId="5" borderId="1" applyAlignment="1" pivotButton="0" quotePrefix="0" xfId="0">
      <alignment horizontal="center" vertical="center" wrapText="1"/>
    </xf>
    <xf numFmtId="168" fontId="3" fillId="0" borderId="2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8" borderId="2" pivotButton="0" quotePrefix="0" xfId="0"/>
    <xf numFmtId="0" fontId="3" fillId="8" borderId="2" pivotButton="0" quotePrefix="0" xfId="0"/>
    <xf numFmtId="0" fontId="2" fillId="9" borderId="1" applyAlignment="1" pivotButton="0" quotePrefix="0" xfId="0">
      <alignment horizontal="center" vertical="center" wrapText="1"/>
    </xf>
    <xf numFmtId="166" fontId="3" fillId="0" borderId="2" pivotButton="0" quotePrefix="0" xfId="0"/>
    <xf numFmtId="0" fontId="2" fillId="10" borderId="1" applyAlignment="1" pivotButton="0" quotePrefix="0" xfId="0">
      <alignment horizontal="center" vertical="center" wrapText="1"/>
    </xf>
    <xf numFmtId="169" fontId="3" fillId="0" borderId="2" applyAlignment="1" pivotButton="0" quotePrefix="0" xfId="0">
      <alignment vertical="center"/>
    </xf>
    <xf numFmtId="170" fontId="3" fillId="0" borderId="2" pivotButton="0" quotePrefix="0" xfId="0"/>
    <xf numFmtId="0" fontId="0" fillId="11" borderId="2" pivotButton="0" quotePrefix="0" xfId="0"/>
    <xf numFmtId="0" fontId="3" fillId="11" borderId="2" pivotButton="0" quotePrefix="0" xfId="0"/>
    <xf numFmtId="167" fontId="3" fillId="11" borderId="2" pivotButton="0" quotePrefix="0" xfId="0"/>
    <xf numFmtId="0" fontId="4" fillId="2" borderId="0" pivotButton="0" quotePrefix="0" xfId="0"/>
    <xf numFmtId="0" fontId="5" fillId="12" borderId="3" pivotButton="0" quotePrefix="0" xfId="0"/>
    <xf numFmtId="167" fontId="3" fillId="0" borderId="3" pivotButton="0" quotePrefix="0" xfId="0"/>
    <xf numFmtId="0" fontId="6" fillId="0" borderId="2" pivotButton="0" quotePrefix="0" xfId="0"/>
    <xf numFmtId="0" fontId="2" fillId="1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14" borderId="2" applyAlignment="1" pivotButton="0" quotePrefix="0" xfId="0">
      <alignment vertical="center" wrapText="1"/>
    </xf>
    <xf numFmtId="0" fontId="3" fillId="15" borderId="2" applyAlignment="1" pivotButton="0" quotePrefix="0" xfId="0">
      <alignment vertical="center" wrapText="1"/>
    </xf>
    <xf numFmtId="0" fontId="7" fillId="1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時間帯別売上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'07_分析ダッシュボード'!B15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'07_分析ダッシュボード'!$A$16:$A$23</f>
            </numRef>
          </cat>
          <val>
            <numRef>
              <f>'07_分析ダッシュボード'!$B$16:$B$23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時間帯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 (円)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商品別売上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'07_分析ダッシュボード'!E4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'07_分析ダッシュボード'!$D$5:$D$12</f>
            </numRef>
          </cat>
          <val>
            <numRef>
              <f>'07_分析ダッシュボード'!$E$5:$E$12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売上 (円)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商品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16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31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G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22" customWidth="1" min="4" max="4"/>
    <col width="8" customWidth="1" min="5" max="5"/>
    <col width="12" customWidth="1" min="6" max="6"/>
    <col width="12" customWidth="1" min="7" max="7"/>
  </cols>
  <sheetData>
    <row r="1" ht="24" customHeight="1">
      <c r="A1" s="1" t="inlineStr">
        <is>
          <t>01  売上入力シート　―　日々の販売データを入力してください</t>
        </is>
      </c>
    </row>
    <row r="2" ht="20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時間帯</t>
        </is>
      </c>
      <c r="D2" s="2" t="inlineStr">
        <is>
          <t>商品名</t>
        </is>
      </c>
      <c r="E2" s="2" t="inlineStr">
        <is>
          <t>数量</t>
        </is>
      </c>
      <c r="F2" s="2" t="inlineStr">
        <is>
          <t>単価 (円)</t>
        </is>
      </c>
      <c r="G2" s="2" t="inlineStr">
        <is>
          <t>売上 (円)</t>
        </is>
      </c>
    </row>
    <row r="3" ht="18" customHeight="1">
      <c r="A3" s="3" t="n">
        <v>45444</v>
      </c>
      <c r="B3" s="4" t="inlineStr">
        <is>
          <t>土</t>
        </is>
      </c>
      <c r="C3" s="4" t="inlineStr">
        <is>
          <t>8-9</t>
        </is>
      </c>
      <c r="D3" s="4" t="inlineStr">
        <is>
          <t>食パン（1斤）</t>
        </is>
      </c>
      <c r="E3" s="5" t="n">
        <v>3</v>
      </c>
      <c r="F3" s="6" t="n">
        <v>350</v>
      </c>
      <c r="G3" s="7">
        <f>E3*F3</f>
        <v/>
      </c>
    </row>
    <row r="4" ht="18" customHeight="1">
      <c r="A4" s="3" t="n">
        <v>45444</v>
      </c>
      <c r="B4" s="4" t="inlineStr">
        <is>
          <t>土</t>
        </is>
      </c>
      <c r="C4" s="4" t="inlineStr">
        <is>
          <t>8-9</t>
        </is>
      </c>
      <c r="D4" s="4" t="inlineStr">
        <is>
          <t>クロワッサン</t>
        </is>
      </c>
      <c r="E4" s="5" t="n">
        <v>5</v>
      </c>
      <c r="F4" s="6" t="n">
        <v>250</v>
      </c>
      <c r="G4" s="7">
        <f>E4*F4</f>
        <v/>
      </c>
    </row>
    <row r="5" ht="18" customHeight="1">
      <c r="A5" s="3" t="n">
        <v>45444</v>
      </c>
      <c r="B5" s="4" t="inlineStr">
        <is>
          <t>土</t>
        </is>
      </c>
      <c r="C5" s="4" t="inlineStr">
        <is>
          <t>9-10</t>
        </is>
      </c>
      <c r="D5" s="4" t="inlineStr">
        <is>
          <t>ベーグル（プレーン）</t>
        </is>
      </c>
      <c r="E5" s="5" t="n">
        <v>4</v>
      </c>
      <c r="F5" s="6" t="n">
        <v>200</v>
      </c>
      <c r="G5" s="7">
        <f>E5*F5</f>
        <v/>
      </c>
    </row>
    <row r="6" ht="18" customHeight="1">
      <c r="A6" s="3" t="n">
        <v>45444</v>
      </c>
      <c r="B6" s="4" t="inlineStr">
        <is>
          <t>土</t>
        </is>
      </c>
      <c r="C6" s="4" t="inlineStr">
        <is>
          <t>9-10</t>
        </is>
      </c>
      <c r="D6" s="4" t="inlineStr">
        <is>
          <t>カレーパン</t>
        </is>
      </c>
      <c r="E6" s="5" t="n">
        <v>6</v>
      </c>
      <c r="F6" s="6" t="n">
        <v>220</v>
      </c>
      <c r="G6" s="7">
        <f>E6*F6</f>
        <v/>
      </c>
    </row>
    <row r="7" ht="18" customHeight="1">
      <c r="A7" s="3" t="n">
        <v>45444</v>
      </c>
      <c r="B7" s="4" t="inlineStr">
        <is>
          <t>土</t>
        </is>
      </c>
      <c r="C7" s="4" t="inlineStr">
        <is>
          <t>10-11</t>
        </is>
      </c>
      <c r="D7" s="4" t="inlineStr">
        <is>
          <t>メロンパン</t>
        </is>
      </c>
      <c r="E7" s="5" t="n">
        <v>8</v>
      </c>
      <c r="F7" s="6" t="n">
        <v>200</v>
      </c>
      <c r="G7" s="7">
        <f>E7*F7</f>
        <v/>
      </c>
    </row>
    <row r="8" ht="18" customHeight="1">
      <c r="A8" s="3" t="n">
        <v>45444</v>
      </c>
      <c r="B8" s="4" t="inlineStr">
        <is>
          <t>土</t>
        </is>
      </c>
      <c r="C8" s="4" t="inlineStr">
        <is>
          <t>10-11</t>
        </is>
      </c>
      <c r="D8" s="4" t="inlineStr">
        <is>
          <t>食パン（1斤）</t>
        </is>
      </c>
      <c r="E8" s="5" t="n">
        <v>2</v>
      </c>
      <c r="F8" s="6" t="n">
        <v>350</v>
      </c>
      <c r="G8" s="7">
        <f>E8*F8</f>
        <v/>
      </c>
    </row>
    <row r="9" ht="18" customHeight="1">
      <c r="A9" s="3" t="n">
        <v>45444</v>
      </c>
      <c r="B9" s="4" t="inlineStr">
        <is>
          <t>土</t>
        </is>
      </c>
      <c r="C9" s="4" t="inlineStr">
        <is>
          <t>11-12</t>
        </is>
      </c>
      <c r="D9" s="4" t="inlineStr">
        <is>
          <t>カレーパン</t>
        </is>
      </c>
      <c r="E9" s="5" t="n">
        <v>3</v>
      </c>
      <c r="F9" s="6" t="n">
        <v>220</v>
      </c>
      <c r="G9" s="7">
        <f>E9*F9</f>
        <v/>
      </c>
    </row>
    <row r="10" ht="18" customHeight="1">
      <c r="A10" s="3" t="n">
        <v>45444</v>
      </c>
      <c r="B10" s="4" t="inlineStr">
        <is>
          <t>土</t>
        </is>
      </c>
      <c r="C10" s="4" t="inlineStr">
        <is>
          <t>11-12</t>
        </is>
      </c>
      <c r="D10" s="4" t="inlineStr">
        <is>
          <t>クロワッサン</t>
        </is>
      </c>
      <c r="E10" s="5" t="n">
        <v>2</v>
      </c>
      <c r="F10" s="6" t="n">
        <v>250</v>
      </c>
      <c r="G10" s="7">
        <f>E10*F10</f>
        <v/>
      </c>
    </row>
    <row r="11" ht="18" customHeight="1">
      <c r="A11" s="3" t="n">
        <v>45445</v>
      </c>
      <c r="B11" s="4" t="inlineStr">
        <is>
          <t>日</t>
        </is>
      </c>
      <c r="C11" s="4" t="inlineStr">
        <is>
          <t>8-9</t>
        </is>
      </c>
      <c r="D11" s="4" t="inlineStr">
        <is>
          <t>食パン（1斤）</t>
        </is>
      </c>
      <c r="E11" s="5" t="n">
        <v>4</v>
      </c>
      <c r="F11" s="6" t="n">
        <v>350</v>
      </c>
      <c r="G11" s="7">
        <f>E11*F11</f>
        <v/>
      </c>
    </row>
    <row r="12" ht="18" customHeight="1">
      <c r="A12" s="3" t="n">
        <v>45445</v>
      </c>
      <c r="B12" s="4" t="inlineStr">
        <is>
          <t>日</t>
        </is>
      </c>
      <c r="C12" s="4" t="inlineStr">
        <is>
          <t>9-10</t>
        </is>
      </c>
      <c r="D12" s="4" t="inlineStr">
        <is>
          <t>ベーグル（プレーン）</t>
        </is>
      </c>
      <c r="E12" s="5" t="n">
        <v>3</v>
      </c>
      <c r="F12" s="6" t="n">
        <v>200</v>
      </c>
      <c r="G12" s="7">
        <f>E12*F12</f>
        <v/>
      </c>
    </row>
    <row r="13" ht="18" customHeight="1">
      <c r="A13" s="3" t="n">
        <v>45445</v>
      </c>
      <c r="B13" s="4" t="inlineStr">
        <is>
          <t>日</t>
        </is>
      </c>
      <c r="C13" s="4" t="inlineStr">
        <is>
          <t>9-10</t>
        </is>
      </c>
      <c r="D13" s="4" t="inlineStr">
        <is>
          <t>メロンパン</t>
        </is>
      </c>
      <c r="E13" s="5" t="n">
        <v>5</v>
      </c>
      <c r="F13" s="6" t="n">
        <v>200</v>
      </c>
      <c r="G13" s="7">
        <f>E13*F13</f>
        <v/>
      </c>
    </row>
    <row r="14" ht="18" customHeight="1">
      <c r="A14" s="3" t="n">
        <v>45445</v>
      </c>
      <c r="B14" s="4" t="inlineStr">
        <is>
          <t>日</t>
        </is>
      </c>
      <c r="C14" s="4" t="inlineStr">
        <is>
          <t>10-11</t>
        </is>
      </c>
      <c r="D14" s="4" t="inlineStr">
        <is>
          <t>カレーパン</t>
        </is>
      </c>
      <c r="E14" s="5" t="n">
        <v>4</v>
      </c>
      <c r="F14" s="6" t="n">
        <v>220</v>
      </c>
      <c r="G14" s="7">
        <f>E14*F14</f>
        <v/>
      </c>
    </row>
    <row r="15" ht="18" customHeight="1">
      <c r="A15" s="3" t="n">
        <v>45446</v>
      </c>
      <c r="B15" s="4" t="inlineStr">
        <is>
          <t>月</t>
        </is>
      </c>
      <c r="C15" s="4" t="inlineStr">
        <is>
          <t>8-9</t>
        </is>
      </c>
      <c r="D15" s="4" t="inlineStr">
        <is>
          <t>食パン（1斤）</t>
        </is>
      </c>
      <c r="E15" s="5" t="n">
        <v>2</v>
      </c>
      <c r="F15" s="6" t="n">
        <v>350</v>
      </c>
      <c r="G15" s="7">
        <f>E15*F15</f>
        <v/>
      </c>
    </row>
    <row r="16" ht="18" customHeight="1">
      <c r="A16" s="3" t="n">
        <v>45446</v>
      </c>
      <c r="B16" s="4" t="inlineStr">
        <is>
          <t>月</t>
        </is>
      </c>
      <c r="C16" s="4" t="inlineStr">
        <is>
          <t>9-10</t>
        </is>
      </c>
      <c r="D16" s="4" t="inlineStr">
        <is>
          <t>クロワッサン</t>
        </is>
      </c>
      <c r="E16" s="5" t="n">
        <v>3</v>
      </c>
      <c r="F16" s="6" t="n">
        <v>250</v>
      </c>
      <c r="G16" s="7">
        <f>E16*F16</f>
        <v/>
      </c>
    </row>
    <row r="17" ht="18" customHeight="1">
      <c r="A17" s="3" t="n">
        <v>45446</v>
      </c>
      <c r="B17" s="4" t="inlineStr">
        <is>
          <t>月</t>
        </is>
      </c>
      <c r="C17" s="4" t="inlineStr">
        <is>
          <t>10-11</t>
        </is>
      </c>
      <c r="D17" s="4" t="inlineStr">
        <is>
          <t>カレーパン</t>
        </is>
      </c>
      <c r="E17" s="5" t="n">
        <v>2</v>
      </c>
      <c r="F17" s="6" t="n">
        <v>220</v>
      </c>
      <c r="G17" s="7">
        <f>E17*F17</f>
        <v/>
      </c>
    </row>
    <row r="18" ht="18" customHeight="1">
      <c r="A18" s="8" t="n"/>
      <c r="B18" s="9" t="n"/>
      <c r="C18" s="9" t="n"/>
      <c r="D18" s="9" t="n"/>
      <c r="E18" s="10" t="n"/>
      <c r="F18" s="11" t="n"/>
      <c r="G18" s="12">
        <f>IF(E18="","",E18*F18)</f>
        <v/>
      </c>
    </row>
    <row r="19" ht="18" customHeight="1">
      <c r="A19" s="8" t="n"/>
      <c r="B19" s="9" t="n"/>
      <c r="C19" s="9" t="n"/>
      <c r="D19" s="9" t="n"/>
      <c r="E19" s="10" t="n"/>
      <c r="F19" s="11" t="n"/>
      <c r="G19" s="12">
        <f>IF(E19="","",E19*F19)</f>
        <v/>
      </c>
    </row>
    <row r="20" ht="18" customHeight="1">
      <c r="A20" s="8" t="n"/>
      <c r="B20" s="9" t="n"/>
      <c r="C20" s="9" t="n"/>
      <c r="D20" s="9" t="n"/>
      <c r="E20" s="10" t="n"/>
      <c r="F20" s="11" t="n"/>
      <c r="G20" s="12">
        <f>IF(E20="","",E20*F20)</f>
        <v/>
      </c>
    </row>
    <row r="21" ht="18" customHeight="1">
      <c r="A21" s="8" t="n"/>
      <c r="B21" s="9" t="n"/>
      <c r="C21" s="9" t="n"/>
      <c r="D21" s="9" t="n"/>
      <c r="E21" s="10" t="n"/>
      <c r="F21" s="11" t="n"/>
      <c r="G21" s="12">
        <f>IF(E21="","",E21*F21)</f>
        <v/>
      </c>
    </row>
    <row r="22" ht="18" customHeight="1">
      <c r="A22" s="8" t="n"/>
      <c r="B22" s="9" t="n"/>
      <c r="C22" s="9" t="n"/>
      <c r="D22" s="9" t="n"/>
      <c r="E22" s="10" t="n"/>
      <c r="F22" s="11" t="n"/>
      <c r="G22" s="12">
        <f>IF(E22="","",E22*F22)</f>
        <v/>
      </c>
    </row>
    <row r="23" ht="18" customHeight="1">
      <c r="A23" s="8" t="n"/>
      <c r="B23" s="9" t="n"/>
      <c r="C23" s="9" t="n"/>
      <c r="D23" s="9" t="n"/>
      <c r="E23" s="10" t="n"/>
      <c r="F23" s="11" t="n"/>
      <c r="G23" s="12">
        <f>IF(E23="","",E23*F23)</f>
        <v/>
      </c>
    </row>
    <row r="24" ht="18" customHeight="1">
      <c r="A24" s="8" t="n"/>
      <c r="B24" s="9" t="n"/>
      <c r="C24" s="9" t="n"/>
      <c r="D24" s="9" t="n"/>
      <c r="E24" s="10" t="n"/>
      <c r="F24" s="11" t="n"/>
      <c r="G24" s="12">
        <f>IF(E24="","",E24*F24)</f>
        <v/>
      </c>
    </row>
    <row r="25" ht="18" customHeight="1">
      <c r="A25" s="8" t="n"/>
      <c r="B25" s="9" t="n"/>
      <c r="C25" s="9" t="n"/>
      <c r="D25" s="9" t="n"/>
      <c r="E25" s="10" t="n"/>
      <c r="F25" s="11" t="n"/>
      <c r="G25" s="12">
        <f>IF(E25="","",E25*F25)</f>
        <v/>
      </c>
    </row>
    <row r="26" ht="18" customHeight="1">
      <c r="A26" s="8" t="n"/>
      <c r="B26" s="9" t="n"/>
      <c r="C26" s="9" t="n"/>
      <c r="D26" s="9" t="n"/>
      <c r="E26" s="10" t="n"/>
      <c r="F26" s="11" t="n"/>
      <c r="G26" s="12">
        <f>IF(E26="","",E26*F26)</f>
        <v/>
      </c>
    </row>
    <row r="27" ht="18" customHeight="1">
      <c r="A27" s="8" t="n"/>
      <c r="B27" s="9" t="n"/>
      <c r="C27" s="9" t="n"/>
      <c r="D27" s="9" t="n"/>
      <c r="E27" s="10" t="n"/>
      <c r="F27" s="11" t="n"/>
      <c r="G27" s="12">
        <f>IF(E27="","",E27*F27)</f>
        <v/>
      </c>
    </row>
    <row r="28" ht="18" customHeight="1">
      <c r="A28" s="8" t="n"/>
      <c r="B28" s="9" t="n"/>
      <c r="C28" s="9" t="n"/>
      <c r="D28" s="9" t="n"/>
      <c r="E28" s="10" t="n"/>
      <c r="F28" s="11" t="n"/>
      <c r="G28" s="12">
        <f>IF(E28="","",E28*F28)</f>
        <v/>
      </c>
    </row>
    <row r="29" ht="18" customHeight="1">
      <c r="A29" s="8" t="n"/>
      <c r="B29" s="9" t="n"/>
      <c r="C29" s="9" t="n"/>
      <c r="D29" s="9" t="n"/>
      <c r="E29" s="10" t="n"/>
      <c r="F29" s="11" t="n"/>
      <c r="G29" s="12">
        <f>IF(E29="","",E29*F29)</f>
        <v/>
      </c>
    </row>
    <row r="30" ht="18" customHeight="1">
      <c r="A30" s="8" t="n"/>
      <c r="B30" s="9" t="n"/>
      <c r="C30" s="9" t="n"/>
      <c r="D30" s="9" t="n"/>
      <c r="E30" s="10" t="n"/>
      <c r="F30" s="11" t="n"/>
      <c r="G30" s="12">
        <f>IF(E30="","",E30*F30)</f>
        <v/>
      </c>
    </row>
    <row r="31" ht="18" customHeight="1">
      <c r="A31" s="8" t="n"/>
      <c r="B31" s="9" t="n"/>
      <c r="C31" s="9" t="n"/>
      <c r="D31" s="9" t="n"/>
      <c r="E31" s="10" t="n"/>
      <c r="F31" s="11" t="n"/>
      <c r="G31" s="12">
        <f>IF(E31="","",E31*F31)</f>
        <v/>
      </c>
    </row>
    <row r="32" ht="18" customHeight="1">
      <c r="A32" s="8" t="n"/>
      <c r="B32" s="9" t="n"/>
      <c r="C32" s="9" t="n"/>
      <c r="D32" s="9" t="n"/>
      <c r="E32" s="10" t="n"/>
      <c r="F32" s="11" t="n"/>
      <c r="G32" s="12">
        <f>IF(E32="","",E32*F32)</f>
        <v/>
      </c>
    </row>
    <row r="33" ht="18" customHeight="1">
      <c r="A33" s="8" t="n"/>
      <c r="B33" s="9" t="n"/>
      <c r="C33" s="9" t="n"/>
      <c r="D33" s="9" t="n"/>
      <c r="E33" s="10" t="n"/>
      <c r="F33" s="11" t="n"/>
      <c r="G33" s="12">
        <f>IF(E33="","",E33*F33)</f>
        <v/>
      </c>
    </row>
    <row r="34" ht="18" customHeight="1">
      <c r="A34" s="8" t="n"/>
      <c r="B34" s="9" t="n"/>
      <c r="C34" s="9" t="n"/>
      <c r="D34" s="9" t="n"/>
      <c r="E34" s="10" t="n"/>
      <c r="F34" s="11" t="n"/>
      <c r="G34" s="12">
        <f>IF(E34="","",E34*F34)</f>
        <v/>
      </c>
    </row>
    <row r="35" ht="18" customHeight="1">
      <c r="A35" s="8" t="n"/>
      <c r="B35" s="9" t="n"/>
      <c r="C35" s="9" t="n"/>
      <c r="D35" s="9" t="n"/>
      <c r="E35" s="10" t="n"/>
      <c r="F35" s="11" t="n"/>
      <c r="G35" s="12">
        <f>IF(E35="","",E35*F35)</f>
        <v/>
      </c>
    </row>
    <row r="36" ht="18" customHeight="1">
      <c r="A36" s="8" t="n"/>
      <c r="B36" s="9" t="n"/>
      <c r="C36" s="9" t="n"/>
      <c r="D36" s="9" t="n"/>
      <c r="E36" s="10" t="n"/>
      <c r="F36" s="11" t="n"/>
      <c r="G36" s="12">
        <f>IF(E36="","",E36*F36)</f>
        <v/>
      </c>
    </row>
    <row r="37" ht="18" customHeight="1">
      <c r="A37" s="8" t="n"/>
      <c r="B37" s="9" t="n"/>
      <c r="C37" s="9" t="n"/>
      <c r="D37" s="9" t="n"/>
      <c r="E37" s="10" t="n"/>
      <c r="F37" s="11" t="n"/>
      <c r="G37" s="12">
        <f>IF(E37="","",E37*F37)</f>
        <v/>
      </c>
    </row>
    <row r="38" ht="18" customHeight="1">
      <c r="A38" s="8" t="n"/>
      <c r="B38" s="9" t="n"/>
      <c r="C38" s="9" t="n"/>
      <c r="D38" s="9" t="n"/>
      <c r="E38" s="10" t="n"/>
      <c r="F38" s="11" t="n"/>
      <c r="G38" s="12">
        <f>IF(E38="","",E38*F38)</f>
        <v/>
      </c>
    </row>
    <row r="39" ht="18" customHeight="1">
      <c r="A39" s="8" t="n"/>
      <c r="B39" s="9" t="n"/>
      <c r="C39" s="9" t="n"/>
      <c r="D39" s="9" t="n"/>
      <c r="E39" s="10" t="n"/>
      <c r="F39" s="11" t="n"/>
      <c r="G39" s="12">
        <f>IF(E39="","",E39*F39)</f>
        <v/>
      </c>
    </row>
    <row r="40" ht="18" customHeight="1">
      <c r="A40" s="8" t="n"/>
      <c r="B40" s="9" t="n"/>
      <c r="C40" s="9" t="n"/>
      <c r="D40" s="9" t="n"/>
      <c r="E40" s="10" t="n"/>
      <c r="F40" s="11" t="n"/>
      <c r="G40" s="12">
        <f>IF(E40="","",E40*F40)</f>
        <v/>
      </c>
    </row>
    <row r="41" ht="18" customHeight="1">
      <c r="A41" s="8" t="n"/>
      <c r="B41" s="9" t="n"/>
      <c r="C41" s="9" t="n"/>
      <c r="D41" s="9" t="n"/>
      <c r="E41" s="10" t="n"/>
      <c r="F41" s="11" t="n"/>
      <c r="G41" s="12">
        <f>IF(E41="","",E41*F41)</f>
        <v/>
      </c>
    </row>
    <row r="42" ht="18" customHeight="1">
      <c r="A42" s="8" t="n"/>
      <c r="B42" s="9" t="n"/>
      <c r="C42" s="9" t="n"/>
      <c r="D42" s="9" t="n"/>
      <c r="E42" s="10" t="n"/>
      <c r="F42" s="11" t="n"/>
      <c r="G42" s="12">
        <f>IF(E42="","",E42*F42)</f>
        <v/>
      </c>
    </row>
    <row r="43" ht="18" customHeight="1">
      <c r="A43" s="8" t="n"/>
      <c r="B43" s="9" t="n"/>
      <c r="C43" s="9" t="n"/>
      <c r="D43" s="9" t="n"/>
      <c r="E43" s="10" t="n"/>
      <c r="F43" s="11" t="n"/>
      <c r="G43" s="12">
        <f>IF(E43="","",E43*F43)</f>
        <v/>
      </c>
    </row>
    <row r="44" ht="18" customHeight="1">
      <c r="A44" s="8" t="n"/>
      <c r="B44" s="9" t="n"/>
      <c r="C44" s="9" t="n"/>
      <c r="D44" s="9" t="n"/>
      <c r="E44" s="10" t="n"/>
      <c r="F44" s="11" t="n"/>
      <c r="G44" s="12">
        <f>IF(E44="","",E44*F44)</f>
        <v/>
      </c>
    </row>
    <row r="45" ht="18" customHeight="1">
      <c r="A45" s="8" t="n"/>
      <c r="B45" s="9" t="n"/>
      <c r="C45" s="9" t="n"/>
      <c r="D45" s="9" t="n"/>
      <c r="E45" s="10" t="n"/>
      <c r="F45" s="11" t="n"/>
      <c r="G45" s="12">
        <f>IF(E45="","",E45*F45)</f>
        <v/>
      </c>
    </row>
    <row r="46" ht="18" customHeight="1">
      <c r="A46" s="8" t="n"/>
      <c r="B46" s="9" t="n"/>
      <c r="C46" s="9" t="n"/>
      <c r="D46" s="9" t="n"/>
      <c r="E46" s="10" t="n"/>
      <c r="F46" s="11" t="n"/>
      <c r="G46" s="12">
        <f>IF(E46="","",E46*F46)</f>
        <v/>
      </c>
    </row>
    <row r="47" ht="18" customHeight="1">
      <c r="A47" s="8" t="n"/>
      <c r="B47" s="9" t="n"/>
      <c r="C47" s="9" t="n"/>
      <c r="D47" s="9" t="n"/>
      <c r="E47" s="10" t="n"/>
      <c r="F47" s="11" t="n"/>
      <c r="G47" s="12">
        <f>IF(E47="","",E47*F47)</f>
        <v/>
      </c>
    </row>
    <row r="48" ht="18" customHeight="1">
      <c r="A48" s="8" t="n"/>
      <c r="B48" s="9" t="n"/>
      <c r="C48" s="9" t="n"/>
      <c r="D48" s="9" t="n"/>
      <c r="E48" s="10" t="n"/>
      <c r="F48" s="11" t="n"/>
      <c r="G48" s="12">
        <f>IF(E48="","",E48*F48)</f>
        <v/>
      </c>
    </row>
    <row r="49" ht="18" customHeight="1">
      <c r="A49" s="8" t="n"/>
      <c r="B49" s="9" t="n"/>
      <c r="C49" s="9" t="n"/>
      <c r="D49" s="9" t="n"/>
      <c r="E49" s="10" t="n"/>
      <c r="F49" s="11" t="n"/>
      <c r="G49" s="12">
        <f>IF(E49="","",E49*F49)</f>
        <v/>
      </c>
    </row>
    <row r="50" ht="18" customHeight="1">
      <c r="A50" s="8" t="n"/>
      <c r="B50" s="9" t="n"/>
      <c r="C50" s="9" t="n"/>
      <c r="D50" s="9" t="n"/>
      <c r="E50" s="10" t="n"/>
      <c r="F50" s="11" t="n"/>
      <c r="G50" s="12">
        <f>IF(E50="","",E50*F50)</f>
        <v/>
      </c>
    </row>
    <row r="51" ht="18" customHeight="1">
      <c r="A51" s="8" t="n"/>
      <c r="B51" s="9" t="n"/>
      <c r="C51" s="9" t="n"/>
      <c r="D51" s="9" t="n"/>
      <c r="E51" s="10" t="n"/>
      <c r="F51" s="11" t="n"/>
      <c r="G51" s="12">
        <f>IF(E51="","",E51*F51)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0" customWidth="1" min="9" max="9"/>
  </cols>
  <sheetData>
    <row r="1" ht="22" customHeight="1">
      <c r="A1" s="1" t="inlineStr">
        <is>
          <t>02  商品マスタ　―　商品情報・粗利を一元管理</t>
        </is>
      </c>
    </row>
    <row r="2">
      <c r="A2" s="13" t="inlineStr">
        <is>
          <t>商品ID</t>
        </is>
      </c>
      <c r="B2" s="13" t="inlineStr">
        <is>
          <t>商品名</t>
        </is>
      </c>
      <c r="C2" s="13" t="inlineStr">
        <is>
          <t>カテゴリ</t>
        </is>
      </c>
      <c r="D2" s="13" t="inlineStr">
        <is>
          <t>販売価格 (円)</t>
        </is>
      </c>
      <c r="E2" s="13" t="inlineStr">
        <is>
          <t>原価 (円)</t>
        </is>
      </c>
      <c r="F2" s="13" t="inlineStr">
        <is>
          <t>粗利 (円)</t>
        </is>
      </c>
      <c r="G2" s="13" t="inlineStr">
        <is>
          <t>製造時間 (分)</t>
        </is>
      </c>
      <c r="H2" s="13" t="inlineStr">
        <is>
          <t>推奨製造数</t>
        </is>
      </c>
      <c r="I2" s="13" t="inlineStr">
        <is>
          <t>粗利率</t>
        </is>
      </c>
    </row>
    <row r="3" ht="18" customHeight="1">
      <c r="A3" s="4" t="inlineStr">
        <is>
          <t>P001</t>
        </is>
      </c>
      <c r="B3" s="4" t="inlineStr">
        <is>
          <t>食パン（1斤）</t>
        </is>
      </c>
      <c r="C3" s="4" t="inlineStr">
        <is>
          <t>食パン</t>
        </is>
      </c>
      <c r="D3" s="6" t="n">
        <v>350</v>
      </c>
      <c r="E3" s="6" t="n">
        <v>120</v>
      </c>
      <c r="F3" s="7">
        <f>D3-E3</f>
        <v/>
      </c>
      <c r="G3" s="5" t="n">
        <v>15</v>
      </c>
      <c r="H3" s="5" t="n">
        <v>8</v>
      </c>
      <c r="I3" s="14">
        <f>IFERROR(F3/D3,0)</f>
        <v/>
      </c>
    </row>
    <row r="4" ht="18" customHeight="1">
      <c r="A4" s="4" t="inlineStr">
        <is>
          <t>P002</t>
        </is>
      </c>
      <c r="B4" s="4" t="inlineStr">
        <is>
          <t>ベーグル（プレーン）</t>
        </is>
      </c>
      <c r="C4" s="4" t="inlineStr">
        <is>
          <t>ベーグル</t>
        </is>
      </c>
      <c r="D4" s="6" t="n">
        <v>200</v>
      </c>
      <c r="E4" s="6" t="n">
        <v>70</v>
      </c>
      <c r="F4" s="7">
        <f>D4-E4</f>
        <v/>
      </c>
      <c r="G4" s="5" t="n">
        <v>20</v>
      </c>
      <c r="H4" s="5" t="n">
        <v>10</v>
      </c>
      <c r="I4" s="14">
        <f>IFERROR(F4/D4,0)</f>
        <v/>
      </c>
    </row>
    <row r="5" ht="18" customHeight="1">
      <c r="A5" s="4" t="inlineStr">
        <is>
          <t>P003</t>
        </is>
      </c>
      <c r="B5" s="4" t="inlineStr">
        <is>
          <t>クロワッサン</t>
        </is>
      </c>
      <c r="C5" s="4" t="inlineStr">
        <is>
          <t>クロワッサン</t>
        </is>
      </c>
      <c r="D5" s="6" t="n">
        <v>250</v>
      </c>
      <c r="E5" s="6" t="n">
        <v>110</v>
      </c>
      <c r="F5" s="7">
        <f>D5-E5</f>
        <v/>
      </c>
      <c r="G5" s="5" t="n">
        <v>35</v>
      </c>
      <c r="H5" s="5" t="n">
        <v>6</v>
      </c>
      <c r="I5" s="14">
        <f>IFERROR(F5/D5,0)</f>
        <v/>
      </c>
    </row>
    <row r="6" ht="18" customHeight="1">
      <c r="A6" s="4" t="inlineStr">
        <is>
          <t>P004</t>
        </is>
      </c>
      <c r="B6" s="4" t="inlineStr">
        <is>
          <t>カレーパン</t>
        </is>
      </c>
      <c r="C6" s="4" t="inlineStr">
        <is>
          <t>惣菜パン</t>
        </is>
      </c>
      <c r="D6" s="6" t="n">
        <v>220</v>
      </c>
      <c r="E6" s="6" t="n">
        <v>85</v>
      </c>
      <c r="F6" s="7">
        <f>D6-E6</f>
        <v/>
      </c>
      <c r="G6" s="5" t="n">
        <v>25</v>
      </c>
      <c r="H6" s="5" t="n">
        <v>8</v>
      </c>
      <c r="I6" s="14">
        <f>IFERROR(F6/D6,0)</f>
        <v/>
      </c>
    </row>
    <row r="7" ht="18" customHeight="1">
      <c r="A7" s="4" t="inlineStr">
        <is>
          <t>P005</t>
        </is>
      </c>
      <c r="B7" s="4" t="inlineStr">
        <is>
          <t>メロンパン</t>
        </is>
      </c>
      <c r="C7" s="4" t="inlineStr">
        <is>
          <t>菓子パン</t>
        </is>
      </c>
      <c r="D7" s="6" t="n">
        <v>200</v>
      </c>
      <c r="E7" s="6" t="n">
        <v>65</v>
      </c>
      <c r="F7" s="7">
        <f>D7-E7</f>
        <v/>
      </c>
      <c r="G7" s="5" t="n">
        <v>20</v>
      </c>
      <c r="H7" s="5" t="n">
        <v>10</v>
      </c>
      <c r="I7" s="14">
        <f>IFERROR(F7/D7,0)</f>
        <v/>
      </c>
    </row>
    <row r="8" ht="18" customHeight="1">
      <c r="A8" s="4" t="inlineStr">
        <is>
          <t>P006</t>
        </is>
      </c>
      <c r="B8" s="4" t="inlineStr">
        <is>
          <t>チョコデニッシュ</t>
        </is>
      </c>
      <c r="C8" s="4" t="inlineStr">
        <is>
          <t>菓子パン</t>
        </is>
      </c>
      <c r="D8" s="6" t="n">
        <v>230</v>
      </c>
      <c r="E8" s="6" t="n">
        <v>90</v>
      </c>
      <c r="F8" s="7">
        <f>D8-E8</f>
        <v/>
      </c>
      <c r="G8" s="5" t="n">
        <v>30</v>
      </c>
      <c r="H8" s="5" t="n">
        <v>6</v>
      </c>
      <c r="I8" s="14">
        <f>IFERROR(F8/D8,0)</f>
        <v/>
      </c>
    </row>
    <row r="9" ht="18" customHeight="1">
      <c r="A9" s="4" t="inlineStr">
        <is>
          <t>P007</t>
        </is>
      </c>
      <c r="B9" s="4" t="inlineStr">
        <is>
          <t>バゲット</t>
        </is>
      </c>
      <c r="C9" s="4" t="inlineStr">
        <is>
          <t>食パン</t>
        </is>
      </c>
      <c r="D9" s="6" t="n">
        <v>400</v>
      </c>
      <c r="E9" s="6" t="n">
        <v>130</v>
      </c>
      <c r="F9" s="7">
        <f>D9-E9</f>
        <v/>
      </c>
      <c r="G9" s="5" t="n">
        <v>25</v>
      </c>
      <c r="H9" s="5" t="n">
        <v>5</v>
      </c>
      <c r="I9" s="14">
        <f>IFERROR(F9/D9,0)</f>
        <v/>
      </c>
    </row>
    <row r="10" ht="18" customHeight="1">
      <c r="A10" s="4" t="inlineStr">
        <is>
          <t>P008</t>
        </is>
      </c>
      <c r="B10" s="4" t="inlineStr">
        <is>
          <t>シナモンロール</t>
        </is>
      </c>
      <c r="C10" s="4" t="inlineStr">
        <is>
          <t>焼き菓子</t>
        </is>
      </c>
      <c r="D10" s="6" t="n">
        <v>280</v>
      </c>
      <c r="E10" s="6" t="n">
        <v>100</v>
      </c>
      <c r="F10" s="7">
        <f>D10-E10</f>
        <v/>
      </c>
      <c r="G10" s="5" t="n">
        <v>30</v>
      </c>
      <c r="H10" s="5" t="n">
        <v>8</v>
      </c>
      <c r="I10" s="14">
        <f>IFERROR(F10/D10,0)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2" customHeight="1">
      <c r="A1" s="1" t="inlineStr">
        <is>
          <t>03  原価管理　―　材料ごとの原価内訳を管理</t>
        </is>
      </c>
    </row>
    <row r="2">
      <c r="A2" s="15" t="inlineStr">
        <is>
          <t>商品名</t>
        </is>
      </c>
      <c r="B2" s="15" t="inlineStr">
        <is>
          <t>小麦 (円)</t>
        </is>
      </c>
      <c r="C2" s="15" t="inlineStr">
        <is>
          <t>バター (円)</t>
        </is>
      </c>
      <c r="D2" s="15" t="inlineStr">
        <is>
          <t>包材 (円)</t>
        </is>
      </c>
      <c r="E2" s="15" t="inlineStr">
        <is>
          <t>その他 (円)</t>
        </is>
      </c>
      <c r="F2" s="15" t="inlineStr">
        <is>
          <t>合計原価 (円)</t>
        </is>
      </c>
    </row>
    <row r="3" ht="18" customHeight="1">
      <c r="A3" s="4" t="inlineStr">
        <is>
          <t>食パン（1斤）</t>
        </is>
      </c>
      <c r="B3" s="6" t="n">
        <v>45</v>
      </c>
      <c r="C3" s="6" t="n">
        <v>20</v>
      </c>
      <c r="D3" s="6" t="n">
        <v>12</v>
      </c>
      <c r="E3" s="6" t="n">
        <v>10</v>
      </c>
      <c r="F3" s="7">
        <f>SUM(B3:E3)</f>
        <v/>
      </c>
    </row>
    <row r="4" ht="18" customHeight="1">
      <c r="A4" s="4" t="inlineStr">
        <is>
          <t>ベーグル（プレーン）</t>
        </is>
      </c>
      <c r="B4" s="6" t="n">
        <v>25</v>
      </c>
      <c r="C4" s="6" t="n">
        <v>10</v>
      </c>
      <c r="D4" s="6" t="n">
        <v>10</v>
      </c>
      <c r="E4" s="6" t="n">
        <v>8</v>
      </c>
      <c r="F4" s="7">
        <f>SUM(B4:E4)</f>
        <v/>
      </c>
    </row>
    <row r="5" ht="18" customHeight="1">
      <c r="A5" s="4" t="inlineStr">
        <is>
          <t>クロワッサン</t>
        </is>
      </c>
      <c r="B5" s="6" t="n">
        <v>30</v>
      </c>
      <c r="C5" s="6" t="n">
        <v>45</v>
      </c>
      <c r="D5" s="6" t="n">
        <v>15</v>
      </c>
      <c r="E5" s="6" t="n">
        <v>12</v>
      </c>
      <c r="F5" s="7">
        <f>SUM(B5:E5)</f>
        <v/>
      </c>
    </row>
    <row r="6" ht="18" customHeight="1">
      <c r="A6" s="4" t="inlineStr">
        <is>
          <t>カレーパン</t>
        </is>
      </c>
      <c r="B6" s="6" t="n">
        <v>28</v>
      </c>
      <c r="C6" s="6" t="n">
        <v>15</v>
      </c>
      <c r="D6" s="6" t="n">
        <v>15</v>
      </c>
      <c r="E6" s="6" t="n">
        <v>15</v>
      </c>
      <c r="F6" s="7">
        <f>SUM(B6:E6)</f>
        <v/>
      </c>
    </row>
    <row r="7" ht="18" customHeight="1">
      <c r="A7" s="4" t="inlineStr">
        <is>
          <t>メロンパン</t>
        </is>
      </c>
      <c r="B7" s="6" t="n">
        <v>25</v>
      </c>
      <c r="C7" s="6" t="n">
        <v>12</v>
      </c>
      <c r="D7" s="6" t="n">
        <v>12</v>
      </c>
      <c r="E7" s="6" t="n">
        <v>8</v>
      </c>
      <c r="F7" s="7">
        <f>SUM(B7:E7)</f>
        <v/>
      </c>
    </row>
    <row r="8" ht="18" customHeight="1">
      <c r="A8" s="4" t="inlineStr">
        <is>
          <t>チョコデニッシュ</t>
        </is>
      </c>
      <c r="B8" s="6" t="n">
        <v>28</v>
      </c>
      <c r="C8" s="6" t="n">
        <v>25</v>
      </c>
      <c r="D8" s="6" t="n">
        <v>15</v>
      </c>
      <c r="E8" s="6" t="n">
        <v>14</v>
      </c>
      <c r="F8" s="7">
        <f>SUM(B8:E8)</f>
        <v/>
      </c>
    </row>
    <row r="9" ht="18" customHeight="1">
      <c r="A9" s="4" t="inlineStr">
        <is>
          <t>バゲット</t>
        </is>
      </c>
      <c r="B9" s="6" t="n">
        <v>50</v>
      </c>
      <c r="C9" s="6" t="n">
        <v>15</v>
      </c>
      <c r="D9" s="6" t="n">
        <v>15</v>
      </c>
      <c r="E9" s="6" t="n">
        <v>12</v>
      </c>
      <c r="F9" s="7">
        <f>SUM(B9:E9)</f>
        <v/>
      </c>
    </row>
    <row r="10" ht="18" customHeight="1">
      <c r="A10" s="4" t="inlineStr">
        <is>
          <t>シナモンロール</t>
        </is>
      </c>
      <c r="B10" s="6" t="n">
        <v>30</v>
      </c>
      <c r="C10" s="6" t="n">
        <v>30</v>
      </c>
      <c r="D10" s="6" t="n">
        <v>15</v>
      </c>
      <c r="E10" s="6" t="n">
        <v>12</v>
      </c>
      <c r="F10" s="7">
        <f>SUM(B10:E10)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E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4" customWidth="1" min="4" max="4"/>
    <col width="14" customWidth="1" min="5" max="5"/>
  </cols>
  <sheetData>
    <row r="1" ht="22" customHeight="1">
      <c r="A1" s="1" t="inlineStr">
        <is>
          <t>04  廃棄入力　―　廃棄した商品を記録</t>
        </is>
      </c>
    </row>
    <row r="2">
      <c r="A2" s="16" t="inlineStr">
        <is>
          <t>日付</t>
        </is>
      </c>
      <c r="B2" s="16" t="inlineStr">
        <is>
          <t>商品名</t>
        </is>
      </c>
      <c r="C2" s="16" t="inlineStr">
        <is>
          <t>廃棄数</t>
        </is>
      </c>
      <c r="D2" s="16" t="inlineStr">
        <is>
          <t>販売価格 (円)</t>
        </is>
      </c>
      <c r="E2" s="16" t="inlineStr">
        <is>
          <t>廃棄金額 (円)</t>
        </is>
      </c>
    </row>
    <row r="3" ht="18" customHeight="1">
      <c r="A3" s="3" t="n">
        <v>45444</v>
      </c>
      <c r="B3" s="4" t="inlineStr">
        <is>
          <t>クロワッサン</t>
        </is>
      </c>
      <c r="C3" s="5" t="n">
        <v>2</v>
      </c>
      <c r="D3" s="6" t="n">
        <v>250</v>
      </c>
      <c r="E3" s="7">
        <f>C3*D3</f>
        <v/>
      </c>
    </row>
    <row r="4" ht="18" customHeight="1">
      <c r="A4" s="3" t="n">
        <v>45444</v>
      </c>
      <c r="B4" s="4" t="inlineStr">
        <is>
          <t>メロンパン</t>
        </is>
      </c>
      <c r="C4" s="5" t="n">
        <v>3</v>
      </c>
      <c r="D4" s="6" t="n">
        <v>200</v>
      </c>
      <c r="E4" s="7">
        <f>C4*D4</f>
        <v/>
      </c>
    </row>
    <row r="5" ht="18" customHeight="1">
      <c r="A5" s="3" t="n">
        <v>45445</v>
      </c>
      <c r="B5" s="4" t="inlineStr">
        <is>
          <t>シナモンロール</t>
        </is>
      </c>
      <c r="C5" s="5" t="n">
        <v>4</v>
      </c>
      <c r="D5" s="6" t="n">
        <v>280</v>
      </c>
      <c r="E5" s="7">
        <f>C5*D5</f>
        <v/>
      </c>
    </row>
    <row r="6" ht="18" customHeight="1">
      <c r="A6" s="3" t="n">
        <v>45445</v>
      </c>
      <c r="B6" s="4" t="inlineStr">
        <is>
          <t>チョコデニッシュ</t>
        </is>
      </c>
      <c r="C6" s="5" t="n">
        <v>2</v>
      </c>
      <c r="D6" s="6" t="n">
        <v>230</v>
      </c>
      <c r="E6" s="7">
        <f>C6*D6</f>
        <v/>
      </c>
    </row>
    <row r="7" ht="18" customHeight="1">
      <c r="A7" s="3" t="n">
        <v>45446</v>
      </c>
      <c r="B7" s="4" t="inlineStr">
        <is>
          <t>クロワッサン</t>
        </is>
      </c>
      <c r="C7" s="5" t="n">
        <v>1</v>
      </c>
      <c r="D7" s="6" t="n">
        <v>250</v>
      </c>
      <c r="E7" s="7">
        <f>C7*D7</f>
        <v/>
      </c>
    </row>
    <row r="8" ht="18" customHeight="1">
      <c r="A8" s="17" t="n"/>
      <c r="B8" s="17" t="n"/>
      <c r="C8" s="17" t="n"/>
      <c r="D8" s="17" t="n"/>
      <c r="E8" s="18">
        <f>IF(C8="","",C8*D8)</f>
        <v/>
      </c>
    </row>
    <row r="9" ht="18" customHeight="1">
      <c r="A9" s="17" t="n"/>
      <c r="B9" s="17" t="n"/>
      <c r="C9" s="17" t="n"/>
      <c r="D9" s="17" t="n"/>
      <c r="E9" s="18">
        <f>IF(C9="","",C9*D9)</f>
        <v/>
      </c>
    </row>
    <row r="10" ht="18" customHeight="1">
      <c r="A10" s="17" t="n"/>
      <c r="B10" s="17" t="n"/>
      <c r="C10" s="17" t="n"/>
      <c r="D10" s="17" t="n"/>
      <c r="E10" s="18">
        <f>IF(C10="","",C10*D10)</f>
        <v/>
      </c>
    </row>
    <row r="11" ht="18" customHeight="1">
      <c r="A11" s="17" t="n"/>
      <c r="B11" s="17" t="n"/>
      <c r="C11" s="17" t="n"/>
      <c r="D11" s="17" t="n"/>
      <c r="E11" s="18">
        <f>IF(C11="","",C11*D11)</f>
        <v/>
      </c>
    </row>
    <row r="12" ht="18" customHeight="1">
      <c r="A12" s="17" t="n"/>
      <c r="B12" s="17" t="n"/>
      <c r="C12" s="17" t="n"/>
      <c r="D12" s="17" t="n"/>
      <c r="E12" s="18">
        <f>IF(C12="","",C12*D12)</f>
        <v/>
      </c>
    </row>
    <row r="13" ht="18" customHeight="1">
      <c r="A13" s="17" t="n"/>
      <c r="B13" s="17" t="n"/>
      <c r="C13" s="17" t="n"/>
      <c r="D13" s="17" t="n"/>
      <c r="E13" s="18">
        <f>IF(C13="","",C13*D13)</f>
        <v/>
      </c>
    </row>
    <row r="14" ht="18" customHeight="1">
      <c r="A14" s="17" t="n"/>
      <c r="B14" s="17" t="n"/>
      <c r="C14" s="17" t="n"/>
      <c r="D14" s="17" t="n"/>
      <c r="E14" s="18">
        <f>IF(C14="","",C14*D14)</f>
        <v/>
      </c>
    </row>
    <row r="15" ht="18" customHeight="1">
      <c r="A15" s="17" t="n"/>
      <c r="B15" s="17" t="n"/>
      <c r="C15" s="17" t="n"/>
      <c r="D15" s="17" t="n"/>
      <c r="E15" s="18">
        <f>IF(C15="","",C15*D15)</f>
        <v/>
      </c>
    </row>
    <row r="16" ht="18" customHeight="1">
      <c r="A16" s="17" t="n"/>
      <c r="B16" s="17" t="n"/>
      <c r="C16" s="17" t="n"/>
      <c r="D16" s="17" t="n"/>
      <c r="E16" s="18">
        <f>IF(C16="","",C16*D16)</f>
        <v/>
      </c>
    </row>
    <row r="17" ht="18" customHeight="1">
      <c r="A17" s="17" t="n"/>
      <c r="B17" s="17" t="n"/>
      <c r="C17" s="17" t="n"/>
      <c r="D17" s="17" t="n"/>
      <c r="E17" s="18">
        <f>IF(C17="","",C17*D17)</f>
        <v/>
      </c>
    </row>
    <row r="18" ht="18" customHeight="1">
      <c r="A18" s="17" t="n"/>
      <c r="B18" s="17" t="n"/>
      <c r="C18" s="17" t="n"/>
      <c r="D18" s="17" t="n"/>
      <c r="E18" s="18">
        <f>IF(C18="","",C18*D18)</f>
        <v/>
      </c>
    </row>
    <row r="19" ht="18" customHeight="1">
      <c r="A19" s="17" t="n"/>
      <c r="B19" s="17" t="n"/>
      <c r="C19" s="17" t="n"/>
      <c r="D19" s="17" t="n"/>
      <c r="E19" s="18">
        <f>IF(C19="","",C19*D19)</f>
        <v/>
      </c>
    </row>
    <row r="20" ht="18" customHeight="1">
      <c r="A20" s="17" t="n"/>
      <c r="B20" s="17" t="n"/>
      <c r="C20" s="17" t="n"/>
      <c r="D20" s="17" t="n"/>
      <c r="E20" s="18">
        <f>IF(C20="","",C20*D20)</f>
        <v/>
      </c>
    </row>
    <row r="21" ht="18" customHeight="1">
      <c r="A21" s="17" t="n"/>
      <c r="B21" s="17" t="n"/>
      <c r="C21" s="17" t="n"/>
      <c r="D21" s="17" t="n"/>
      <c r="E21" s="18">
        <f>IF(C21="","",C21*D21)</f>
        <v/>
      </c>
    </row>
    <row r="22" ht="18" customHeight="1">
      <c r="A22" s="17" t="n"/>
      <c r="B22" s="17" t="n"/>
      <c r="C22" s="17" t="n"/>
      <c r="D22" s="17" t="n"/>
      <c r="E22" s="18">
        <f>IF(C22="","",C22*D22)</f>
        <v/>
      </c>
    </row>
    <row r="23" ht="18" customHeight="1">
      <c r="A23" s="17" t="n"/>
      <c r="B23" s="17" t="n"/>
      <c r="C23" s="17" t="n"/>
      <c r="D23" s="17" t="n"/>
      <c r="E23" s="18">
        <f>IF(C23="","",C23*D23)</f>
        <v/>
      </c>
    </row>
    <row r="24" ht="18" customHeight="1">
      <c r="A24" s="17" t="n"/>
      <c r="B24" s="17" t="n"/>
      <c r="C24" s="17" t="n"/>
      <c r="D24" s="17" t="n"/>
      <c r="E24" s="18">
        <f>IF(C24="","",C24*D24)</f>
        <v/>
      </c>
    </row>
    <row r="25" ht="18" customHeight="1">
      <c r="A25" s="17" t="n"/>
      <c r="B25" s="17" t="n"/>
      <c r="C25" s="17" t="n"/>
      <c r="D25" s="17" t="n"/>
      <c r="E25" s="18">
        <f>IF(C25="","",C25*D25)</f>
        <v/>
      </c>
    </row>
    <row r="26" ht="18" customHeight="1">
      <c r="A26" s="17" t="n"/>
      <c r="B26" s="17" t="n"/>
      <c r="C26" s="17" t="n"/>
      <c r="D26" s="17" t="n"/>
      <c r="E26" s="18">
        <f>IF(C26="","",C26*D26)</f>
        <v/>
      </c>
    </row>
    <row r="27" ht="18" customHeight="1">
      <c r="A27" s="17" t="n"/>
      <c r="B27" s="17" t="n"/>
      <c r="C27" s="17" t="n"/>
      <c r="D27" s="17" t="n"/>
      <c r="E27" s="18">
        <f>IF(C27="","",C27*D27)</f>
        <v/>
      </c>
    </row>
    <row r="28" ht="18" customHeight="1">
      <c r="A28" s="17" t="n"/>
      <c r="B28" s="17" t="n"/>
      <c r="C28" s="17" t="n"/>
      <c r="D28" s="17" t="n"/>
      <c r="E28" s="18">
        <f>IF(C28="","",C28*D28)</f>
        <v/>
      </c>
    </row>
    <row r="29" ht="18" customHeight="1">
      <c r="A29" s="17" t="n"/>
      <c r="B29" s="17" t="n"/>
      <c r="C29" s="17" t="n"/>
      <c r="D29" s="17" t="n"/>
      <c r="E29" s="18">
        <f>IF(C29="","",C29*D29)</f>
        <v/>
      </c>
    </row>
    <row r="30" ht="18" customHeight="1">
      <c r="A30" s="17" t="n"/>
      <c r="B30" s="17" t="n"/>
      <c r="C30" s="17" t="n"/>
      <c r="D30" s="17" t="n"/>
      <c r="E30" s="18">
        <f>IF(C30="","",C30*D30)</f>
        <v/>
      </c>
    </row>
    <row r="31" ht="18" customHeight="1">
      <c r="A31" s="17" t="n"/>
      <c r="B31" s="17" t="n"/>
      <c r="C31" s="17" t="n"/>
      <c r="D31" s="17" t="n"/>
      <c r="E31" s="18">
        <f>IF(C31="","",C31*D31)</f>
        <v/>
      </c>
    </row>
    <row r="32" ht="18" customHeight="1">
      <c r="A32" s="17" t="n"/>
      <c r="B32" s="17" t="n"/>
      <c r="C32" s="17" t="n"/>
      <c r="D32" s="17" t="n"/>
      <c r="E32" s="18">
        <f>IF(C32="","",C32*D32)</f>
        <v/>
      </c>
    </row>
    <row r="33" ht="18" customHeight="1">
      <c r="A33" s="17" t="n"/>
      <c r="B33" s="17" t="n"/>
      <c r="C33" s="17" t="n"/>
      <c r="D33" s="17" t="n"/>
      <c r="E33" s="18">
        <f>IF(C33="","",C33*D33)</f>
        <v/>
      </c>
    </row>
    <row r="34" ht="18" customHeight="1">
      <c r="A34" s="17" t="n"/>
      <c r="B34" s="17" t="n"/>
      <c r="C34" s="17" t="n"/>
      <c r="D34" s="17" t="n"/>
      <c r="E34" s="18">
        <f>IF(C34="","",C34*D34)</f>
        <v/>
      </c>
    </row>
    <row r="35" ht="18" customHeight="1">
      <c r="A35" s="17" t="n"/>
      <c r="B35" s="17" t="n"/>
      <c r="C35" s="17" t="n"/>
      <c r="D35" s="17" t="n"/>
      <c r="E35" s="18">
        <f>IF(C35="","",C35*D35)</f>
        <v/>
      </c>
    </row>
    <row r="36" ht="18" customHeight="1">
      <c r="A36" s="17" t="n"/>
      <c r="B36" s="17" t="n"/>
      <c r="C36" s="17" t="n"/>
      <c r="D36" s="17" t="n"/>
      <c r="E36" s="18">
        <f>IF(C36="","",C36*D36)</f>
        <v/>
      </c>
    </row>
    <row r="37" ht="18" customHeight="1">
      <c r="A37" s="17" t="n"/>
      <c r="B37" s="17" t="n"/>
      <c r="C37" s="17" t="n"/>
      <c r="D37" s="17" t="n"/>
      <c r="E37" s="18">
        <f>IF(C37="","",C37*D37)</f>
        <v/>
      </c>
    </row>
    <row r="38" ht="18" customHeight="1">
      <c r="A38" s="17" t="n"/>
      <c r="B38" s="17" t="n"/>
      <c r="C38" s="17" t="n"/>
      <c r="D38" s="17" t="n"/>
      <c r="E38" s="18">
        <f>IF(C38="","",C38*D38)</f>
        <v/>
      </c>
    </row>
    <row r="39" ht="18" customHeight="1">
      <c r="A39" s="17" t="n"/>
      <c r="B39" s="17" t="n"/>
      <c r="C39" s="17" t="n"/>
      <c r="D39" s="17" t="n"/>
      <c r="E39" s="18">
        <f>IF(C39="","",C39*D39)</f>
        <v/>
      </c>
    </row>
    <row r="40" ht="18" customHeight="1">
      <c r="A40" s="17" t="n"/>
      <c r="B40" s="17" t="n"/>
      <c r="C40" s="17" t="n"/>
      <c r="D40" s="17" t="n"/>
      <c r="E40" s="18">
        <f>IF(C40="","",C40*D40)</f>
        <v/>
      </c>
    </row>
    <row r="41" ht="18" customHeight="1">
      <c r="A41" s="17" t="n"/>
      <c r="B41" s="17" t="n"/>
      <c r="C41" s="17" t="n"/>
      <c r="D41" s="17" t="n"/>
      <c r="E41" s="18">
        <f>IF(C41="","",C41*D41)</f>
        <v/>
      </c>
    </row>
    <row r="42" ht="18" customHeight="1">
      <c r="A42" s="17" t="n"/>
      <c r="B42" s="17" t="n"/>
      <c r="C42" s="17" t="n"/>
      <c r="D42" s="17" t="n"/>
      <c r="E42" s="18">
        <f>IF(C42="","",C42*D42)</f>
        <v/>
      </c>
    </row>
    <row r="43" ht="18" customHeight="1">
      <c r="A43" s="17" t="n"/>
      <c r="B43" s="17" t="n"/>
      <c r="C43" s="17" t="n"/>
      <c r="D43" s="17" t="n"/>
      <c r="E43" s="18">
        <f>IF(C43="","",C43*D43)</f>
        <v/>
      </c>
    </row>
    <row r="44" ht="18" customHeight="1">
      <c r="A44" s="17" t="n"/>
      <c r="B44" s="17" t="n"/>
      <c r="C44" s="17" t="n"/>
      <c r="D44" s="17" t="n"/>
      <c r="E44" s="18">
        <f>IF(C44="","",C44*D44)</f>
        <v/>
      </c>
    </row>
    <row r="45" ht="18" customHeight="1">
      <c r="A45" s="17" t="n"/>
      <c r="B45" s="17" t="n"/>
      <c r="C45" s="17" t="n"/>
      <c r="D45" s="17" t="n"/>
      <c r="E45" s="18">
        <f>IF(C45="","",C45*D45)</f>
        <v/>
      </c>
    </row>
    <row r="46" ht="18" customHeight="1">
      <c r="A46" s="17" t="n"/>
      <c r="B46" s="17" t="n"/>
      <c r="C46" s="17" t="n"/>
      <c r="D46" s="17" t="n"/>
      <c r="E46" s="18">
        <f>IF(C46="","",C46*D46)</f>
        <v/>
      </c>
    </row>
    <row r="47" ht="18" customHeight="1">
      <c r="A47" s="17" t="n"/>
      <c r="B47" s="17" t="n"/>
      <c r="C47" s="17" t="n"/>
      <c r="D47" s="17" t="n"/>
      <c r="E47" s="18">
        <f>IF(C47="","",C47*D47)</f>
        <v/>
      </c>
    </row>
    <row r="48" ht="18" customHeight="1">
      <c r="A48" s="17" t="n"/>
      <c r="B48" s="17" t="n"/>
      <c r="C48" s="17" t="n"/>
      <c r="D48" s="17" t="n"/>
      <c r="E48" s="18">
        <f>IF(C48="","",C48*D48)</f>
        <v/>
      </c>
    </row>
    <row r="49" ht="18" customHeight="1">
      <c r="A49" s="17" t="n"/>
      <c r="B49" s="17" t="n"/>
      <c r="C49" s="17" t="n"/>
      <c r="D49" s="17" t="n"/>
      <c r="E49" s="18">
        <f>IF(C49="","",C49*D49)</f>
        <v/>
      </c>
    </row>
    <row r="50" ht="18" customHeight="1">
      <c r="A50" s="17" t="n"/>
      <c r="B50" s="17" t="n"/>
      <c r="C50" s="17" t="n"/>
      <c r="D50" s="17" t="n"/>
      <c r="E50" s="18">
        <f>IF(C50="","",C50*D50)</f>
        <v/>
      </c>
    </row>
    <row r="51" ht="18" customHeight="1">
      <c r="A51" s="17" t="n"/>
      <c r="B51" s="17" t="n"/>
      <c r="C51" s="17" t="n"/>
      <c r="D51" s="17" t="n"/>
      <c r="E51" s="18">
        <f>IF(C51="","",C51*D51)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E480E"/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8" customWidth="1" min="7" max="7"/>
  </cols>
  <sheetData>
    <row r="1" ht="22" customHeight="1">
      <c r="A1" s="1" t="inlineStr">
        <is>
          <t>05  製造時間　―　商品ごとの工程時間と作業負荷を管理</t>
        </is>
      </c>
    </row>
    <row r="2">
      <c r="A2" s="19" t="inlineStr">
        <is>
          <t>商品名</t>
        </is>
      </c>
      <c r="B2" s="19" t="inlineStr">
        <is>
          <t>仕込み時間</t>
        </is>
      </c>
      <c r="C2" s="19" t="inlineStr">
        <is>
          <t>成形時間</t>
        </is>
      </c>
      <c r="D2" s="19" t="inlineStr">
        <is>
          <t>焼成時間</t>
        </is>
      </c>
      <c r="E2" s="19" t="inlineStr">
        <is>
          <t>合計時間（分）</t>
        </is>
      </c>
      <c r="F2" s="19" t="inlineStr">
        <is>
          <t>作業人数</t>
        </is>
      </c>
      <c r="G2" s="19" t="inlineStr">
        <is>
          <t>粗利/時間 (円/時)</t>
        </is>
      </c>
    </row>
    <row r="3" ht="18" customHeight="1">
      <c r="A3" s="4" t="inlineStr">
        <is>
          <t>食パン（1斤）</t>
        </is>
      </c>
      <c r="B3" s="5" t="n">
        <v>30</v>
      </c>
      <c r="C3" s="5" t="n">
        <v>10</v>
      </c>
      <c r="D3" s="5" t="n">
        <v>50</v>
      </c>
      <c r="E3" s="20">
        <f>SUM(B3:D3)</f>
        <v/>
      </c>
      <c r="F3" s="5" t="n">
        <v>1</v>
      </c>
      <c r="G3" s="20">
        <f>IFERROR((XLOOKUP(A3,'02_商品マスタ'!B:B,'02_商品マスタ'!F:F,0))/(E3/60),0)</f>
        <v/>
      </c>
    </row>
    <row r="4" ht="18" customHeight="1">
      <c r="A4" s="4" t="inlineStr">
        <is>
          <t>ベーグル（プレーン）</t>
        </is>
      </c>
      <c r="B4" s="5" t="n">
        <v>30</v>
      </c>
      <c r="C4" s="5" t="n">
        <v>20</v>
      </c>
      <c r="D4" s="5" t="n">
        <v>25</v>
      </c>
      <c r="E4" s="20">
        <f>SUM(B4:D4)</f>
        <v/>
      </c>
      <c r="F4" s="5" t="n">
        <v>1</v>
      </c>
      <c r="G4" s="20">
        <f>IFERROR((XLOOKUP(A4,'02_商品マスタ'!B:B,'02_商品マスタ'!F:F,0))/(E4/60),0)</f>
        <v/>
      </c>
    </row>
    <row r="5" ht="18" customHeight="1">
      <c r="A5" s="4" t="inlineStr">
        <is>
          <t>クロワッサン</t>
        </is>
      </c>
      <c r="B5" s="5" t="n">
        <v>60</v>
      </c>
      <c r="C5" s="5" t="n">
        <v>40</v>
      </c>
      <c r="D5" s="5" t="n">
        <v>20</v>
      </c>
      <c r="E5" s="20">
        <f>SUM(B5:D5)</f>
        <v/>
      </c>
      <c r="F5" s="5" t="n">
        <v>2</v>
      </c>
      <c r="G5" s="20">
        <f>IFERROR((XLOOKUP(A5,'02_商品マスタ'!B:B,'02_商品マスタ'!F:F,0))/(E5/60),0)</f>
        <v/>
      </c>
    </row>
    <row r="6" ht="18" customHeight="1">
      <c r="A6" s="4" t="inlineStr">
        <is>
          <t>カレーパン</t>
        </is>
      </c>
      <c r="B6" s="5" t="n">
        <v>30</v>
      </c>
      <c r="C6" s="5" t="n">
        <v>30</v>
      </c>
      <c r="D6" s="5" t="n">
        <v>20</v>
      </c>
      <c r="E6" s="20">
        <f>SUM(B6:D6)</f>
        <v/>
      </c>
      <c r="F6" s="5" t="n">
        <v>1</v>
      </c>
      <c r="G6" s="20">
        <f>IFERROR((XLOOKUP(A6,'02_商品マスタ'!B:B,'02_商品マスタ'!F:F,0))/(E6/60),0)</f>
        <v/>
      </c>
    </row>
    <row r="7" ht="18" customHeight="1">
      <c r="A7" s="4" t="inlineStr">
        <is>
          <t>メロンパン</t>
        </is>
      </c>
      <c r="B7" s="5" t="n">
        <v>30</v>
      </c>
      <c r="C7" s="5" t="n">
        <v>25</v>
      </c>
      <c r="D7" s="5" t="n">
        <v>15</v>
      </c>
      <c r="E7" s="20">
        <f>SUM(B7:D7)</f>
        <v/>
      </c>
      <c r="F7" s="5" t="n">
        <v>1</v>
      </c>
      <c r="G7" s="20">
        <f>IFERROR((XLOOKUP(A7,'02_商品マスタ'!B:B,'02_商品マスタ'!F:F,0))/(E7/60),0)</f>
        <v/>
      </c>
    </row>
    <row r="8" ht="18" customHeight="1">
      <c r="A8" s="4" t="inlineStr">
        <is>
          <t>チョコデニッシュ</t>
        </is>
      </c>
      <c r="B8" s="5" t="n">
        <v>45</v>
      </c>
      <c r="C8" s="5" t="n">
        <v>30</v>
      </c>
      <c r="D8" s="5" t="n">
        <v>20</v>
      </c>
      <c r="E8" s="20">
        <f>SUM(B8:D8)</f>
        <v/>
      </c>
      <c r="F8" s="5" t="n">
        <v>2</v>
      </c>
      <c r="G8" s="20">
        <f>IFERROR((XLOOKUP(A8,'02_商品マスタ'!B:B,'02_商品マスタ'!F:F,0))/(E8/60),0)</f>
        <v/>
      </c>
    </row>
    <row r="9" ht="18" customHeight="1">
      <c r="A9" s="4" t="inlineStr">
        <is>
          <t>バゲット</t>
        </is>
      </c>
      <c r="B9" s="5" t="n">
        <v>20</v>
      </c>
      <c r="C9" s="5" t="n">
        <v>10</v>
      </c>
      <c r="D9" s="5" t="n">
        <v>30</v>
      </c>
      <c r="E9" s="20">
        <f>SUM(B9:D9)</f>
        <v/>
      </c>
      <c r="F9" s="5" t="n">
        <v>1</v>
      </c>
      <c r="G9" s="20">
        <f>IFERROR((XLOOKUP(A9,'02_商品マスタ'!B:B,'02_商品マスタ'!F:F,0))/(E9/60),0)</f>
        <v/>
      </c>
    </row>
    <row r="10" ht="18" customHeight="1">
      <c r="A10" s="4" t="inlineStr">
        <is>
          <t>シナモンロール</t>
        </is>
      </c>
      <c r="B10" s="5" t="n">
        <v>40</v>
      </c>
      <c r="C10" s="5" t="n">
        <v>20</v>
      </c>
      <c r="D10" s="5" t="n">
        <v>25</v>
      </c>
      <c r="E10" s="20">
        <f>SUM(B10:D10)</f>
        <v/>
      </c>
      <c r="F10" s="5" t="n">
        <v>1</v>
      </c>
      <c r="G10" s="20">
        <f>IFERROR((XLOOKUP(A10,'02_商品マスタ'!B:B,'02_商品マスタ'!F:F,0))/(E10/60),0)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G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</cols>
  <sheetData>
    <row r="1" ht="22" customHeight="1">
      <c r="A1" s="1" t="inlineStr">
        <is>
          <t>06  人件費　―　シフト・労働時間・人件費を記録</t>
        </is>
      </c>
    </row>
    <row r="2">
      <c r="A2" s="21" t="inlineStr">
        <is>
          <t>日付</t>
        </is>
      </c>
      <c r="B2" s="21" t="inlineStr">
        <is>
          <t>スタッフ名</t>
        </is>
      </c>
      <c r="C2" s="21" t="inlineStr">
        <is>
          <t>出勤</t>
        </is>
      </c>
      <c r="D2" s="21" t="inlineStr">
        <is>
          <t>退勤</t>
        </is>
      </c>
      <c r="E2" s="21" t="inlineStr">
        <is>
          <t>時給 (円)</t>
        </is>
      </c>
      <c r="F2" s="21" t="inlineStr">
        <is>
          <t>労働時間 (h)</t>
        </is>
      </c>
      <c r="G2" s="21" t="inlineStr">
        <is>
          <t>人件費 (円)</t>
        </is>
      </c>
    </row>
    <row r="3" ht="18" customHeight="1">
      <c r="A3" s="3" t="n">
        <v>45444</v>
      </c>
      <c r="B3" s="4" t="inlineStr">
        <is>
          <t>田中 花子</t>
        </is>
      </c>
      <c r="C3" s="22" t="n">
        <v>0.25</v>
      </c>
      <c r="D3" s="22" t="n">
        <v>0.5833333333333334</v>
      </c>
      <c r="E3" s="6" t="n">
        <v>1050</v>
      </c>
      <c r="F3" s="23">
        <f>(D3-C3)*24</f>
        <v/>
      </c>
      <c r="G3" s="7">
        <f>F3*E3</f>
        <v/>
      </c>
    </row>
    <row r="4" ht="18" customHeight="1">
      <c r="A4" s="3" t="n">
        <v>45444</v>
      </c>
      <c r="B4" s="4" t="inlineStr">
        <is>
          <t>鈴木 太郎</t>
        </is>
      </c>
      <c r="C4" s="22" t="n">
        <v>0.3333333333333333</v>
      </c>
      <c r="D4" s="22" t="n">
        <v>0.6666666666666666</v>
      </c>
      <c r="E4" s="6" t="n">
        <v>1000</v>
      </c>
      <c r="F4" s="23">
        <f>(D4-C4)*24</f>
        <v/>
      </c>
      <c r="G4" s="7">
        <f>F4*E4</f>
        <v/>
      </c>
    </row>
    <row r="5" ht="18" customHeight="1">
      <c r="A5" s="3" t="n">
        <v>45445</v>
      </c>
      <c r="B5" s="4" t="inlineStr">
        <is>
          <t>田中 花子</t>
        </is>
      </c>
      <c r="C5" s="22" t="n">
        <v>0.25</v>
      </c>
      <c r="D5" s="22" t="n">
        <v>0.5833333333333334</v>
      </c>
      <c r="E5" s="6" t="n">
        <v>1050</v>
      </c>
      <c r="F5" s="23">
        <f>(D5-C5)*24</f>
        <v/>
      </c>
      <c r="G5" s="7">
        <f>F5*E5</f>
        <v/>
      </c>
    </row>
    <row r="6" ht="18" customHeight="1">
      <c r="A6" s="3" t="n">
        <v>45446</v>
      </c>
      <c r="B6" s="4" t="inlineStr">
        <is>
          <t>鈴木 太郎</t>
        </is>
      </c>
      <c r="C6" s="22" t="n">
        <v>0.2916666666666667</v>
      </c>
      <c r="D6" s="22" t="n">
        <v>0.625</v>
      </c>
      <c r="E6" s="6" t="n">
        <v>1000</v>
      </c>
      <c r="F6" s="23">
        <f>(D6-C6)*24</f>
        <v/>
      </c>
      <c r="G6" s="7">
        <f>F6*E6</f>
        <v/>
      </c>
    </row>
    <row r="7" ht="18" customHeight="1">
      <c r="A7" s="24" t="n"/>
      <c r="B7" s="24" t="n"/>
      <c r="C7" s="24" t="n"/>
      <c r="D7" s="24" t="n"/>
      <c r="E7" s="24" t="n"/>
      <c r="F7" s="25">
        <f>IFERROR((D7-C7)*24,"")</f>
        <v/>
      </c>
      <c r="G7" s="26">
        <f>IFERROR(F7*E7,"")</f>
        <v/>
      </c>
    </row>
    <row r="8" ht="18" customHeight="1">
      <c r="A8" s="24" t="n"/>
      <c r="B8" s="24" t="n"/>
      <c r="C8" s="24" t="n"/>
      <c r="D8" s="24" t="n"/>
      <c r="E8" s="24" t="n"/>
      <c r="F8" s="25">
        <f>IFERROR((D8-C8)*24,"")</f>
        <v/>
      </c>
      <c r="G8" s="26">
        <f>IFERROR(F8*E8,"")</f>
        <v/>
      </c>
    </row>
    <row r="9" ht="18" customHeight="1">
      <c r="A9" s="24" t="n"/>
      <c r="B9" s="24" t="n"/>
      <c r="C9" s="24" t="n"/>
      <c r="D9" s="24" t="n"/>
      <c r="E9" s="24" t="n"/>
      <c r="F9" s="25">
        <f>IFERROR((D9-C9)*24,"")</f>
        <v/>
      </c>
      <c r="G9" s="26">
        <f>IFERROR(F9*E9,"")</f>
        <v/>
      </c>
    </row>
    <row r="10" ht="18" customHeight="1">
      <c r="A10" s="24" t="n"/>
      <c r="B10" s="24" t="n"/>
      <c r="C10" s="24" t="n"/>
      <c r="D10" s="24" t="n"/>
      <c r="E10" s="24" t="n"/>
      <c r="F10" s="25">
        <f>IFERROR((D10-C10)*24,"")</f>
        <v/>
      </c>
      <c r="G10" s="26">
        <f>IFERROR(F10*E10,"")</f>
        <v/>
      </c>
    </row>
    <row r="11" ht="18" customHeight="1">
      <c r="A11" s="24" t="n"/>
      <c r="B11" s="24" t="n"/>
      <c r="C11" s="24" t="n"/>
      <c r="D11" s="24" t="n"/>
      <c r="E11" s="24" t="n"/>
      <c r="F11" s="25">
        <f>IFERROR((D11-C11)*24,"")</f>
        <v/>
      </c>
      <c r="G11" s="26">
        <f>IFERROR(F11*E11,"")</f>
        <v/>
      </c>
    </row>
    <row r="12" ht="18" customHeight="1">
      <c r="A12" s="24" t="n"/>
      <c r="B12" s="24" t="n"/>
      <c r="C12" s="24" t="n"/>
      <c r="D12" s="24" t="n"/>
      <c r="E12" s="24" t="n"/>
      <c r="F12" s="25">
        <f>IFERROR((D12-C12)*24,"")</f>
        <v/>
      </c>
      <c r="G12" s="26">
        <f>IFERROR(F12*E12,"")</f>
        <v/>
      </c>
    </row>
    <row r="13" ht="18" customHeight="1">
      <c r="A13" s="24" t="n"/>
      <c r="B13" s="24" t="n"/>
      <c r="C13" s="24" t="n"/>
      <c r="D13" s="24" t="n"/>
      <c r="E13" s="24" t="n"/>
      <c r="F13" s="25">
        <f>IFERROR((D13-C13)*24,"")</f>
        <v/>
      </c>
      <c r="G13" s="26">
        <f>IFERROR(F13*E13,"")</f>
        <v/>
      </c>
    </row>
    <row r="14" ht="18" customHeight="1">
      <c r="A14" s="24" t="n"/>
      <c r="B14" s="24" t="n"/>
      <c r="C14" s="24" t="n"/>
      <c r="D14" s="24" t="n"/>
      <c r="E14" s="24" t="n"/>
      <c r="F14" s="25">
        <f>IFERROR((D14-C14)*24,"")</f>
        <v/>
      </c>
      <c r="G14" s="26">
        <f>IFERROR(F14*E14,"")</f>
        <v/>
      </c>
    </row>
    <row r="15" ht="18" customHeight="1">
      <c r="A15" s="24" t="n"/>
      <c r="B15" s="24" t="n"/>
      <c r="C15" s="24" t="n"/>
      <c r="D15" s="24" t="n"/>
      <c r="E15" s="24" t="n"/>
      <c r="F15" s="25">
        <f>IFERROR((D15-C15)*24,"")</f>
        <v/>
      </c>
      <c r="G15" s="26">
        <f>IFERROR(F15*E15,"")</f>
        <v/>
      </c>
    </row>
    <row r="16" ht="18" customHeight="1">
      <c r="A16" s="24" t="n"/>
      <c r="B16" s="24" t="n"/>
      <c r="C16" s="24" t="n"/>
      <c r="D16" s="24" t="n"/>
      <c r="E16" s="24" t="n"/>
      <c r="F16" s="25">
        <f>IFERROR((D16-C16)*24,"")</f>
        <v/>
      </c>
      <c r="G16" s="26">
        <f>IFERROR(F16*E16,"")</f>
        <v/>
      </c>
    </row>
    <row r="17" ht="18" customHeight="1">
      <c r="A17" s="24" t="n"/>
      <c r="B17" s="24" t="n"/>
      <c r="C17" s="24" t="n"/>
      <c r="D17" s="24" t="n"/>
      <c r="E17" s="24" t="n"/>
      <c r="F17" s="25">
        <f>IFERROR((D17-C17)*24,"")</f>
        <v/>
      </c>
      <c r="G17" s="26">
        <f>IFERROR(F17*E17,"")</f>
        <v/>
      </c>
    </row>
    <row r="18" ht="18" customHeight="1">
      <c r="A18" s="24" t="n"/>
      <c r="B18" s="24" t="n"/>
      <c r="C18" s="24" t="n"/>
      <c r="D18" s="24" t="n"/>
      <c r="E18" s="24" t="n"/>
      <c r="F18" s="25">
        <f>IFERROR((D18-C18)*24,"")</f>
        <v/>
      </c>
      <c r="G18" s="26">
        <f>IFERROR(F18*E18,"")</f>
        <v/>
      </c>
    </row>
    <row r="19" ht="18" customHeight="1">
      <c r="A19" s="24" t="n"/>
      <c r="B19" s="24" t="n"/>
      <c r="C19" s="24" t="n"/>
      <c r="D19" s="24" t="n"/>
      <c r="E19" s="24" t="n"/>
      <c r="F19" s="25">
        <f>IFERROR((D19-C19)*24,"")</f>
        <v/>
      </c>
      <c r="G19" s="26">
        <f>IFERROR(F19*E19,"")</f>
        <v/>
      </c>
    </row>
    <row r="20" ht="18" customHeight="1">
      <c r="A20" s="24" t="n"/>
      <c r="B20" s="24" t="n"/>
      <c r="C20" s="24" t="n"/>
      <c r="D20" s="24" t="n"/>
      <c r="E20" s="24" t="n"/>
      <c r="F20" s="25">
        <f>IFERROR((D20-C20)*24,"")</f>
        <v/>
      </c>
      <c r="G20" s="26">
        <f>IFERROR(F20*E20,"")</f>
        <v/>
      </c>
    </row>
    <row r="21" ht="18" customHeight="1">
      <c r="A21" s="24" t="n"/>
      <c r="B21" s="24" t="n"/>
      <c r="C21" s="24" t="n"/>
      <c r="D21" s="24" t="n"/>
      <c r="E21" s="24" t="n"/>
      <c r="F21" s="25">
        <f>IFERROR((D21-C21)*24,"")</f>
        <v/>
      </c>
      <c r="G21" s="26">
        <f>IFERROR(F21*E21,"")</f>
        <v/>
      </c>
    </row>
    <row r="22" ht="18" customHeight="1">
      <c r="A22" s="24" t="n"/>
      <c r="B22" s="24" t="n"/>
      <c r="C22" s="24" t="n"/>
      <c r="D22" s="24" t="n"/>
      <c r="E22" s="24" t="n"/>
      <c r="F22" s="25">
        <f>IFERROR((D22-C22)*24,"")</f>
        <v/>
      </c>
      <c r="G22" s="26">
        <f>IFERROR(F22*E22,"")</f>
        <v/>
      </c>
    </row>
    <row r="23" ht="18" customHeight="1">
      <c r="A23" s="24" t="n"/>
      <c r="B23" s="24" t="n"/>
      <c r="C23" s="24" t="n"/>
      <c r="D23" s="24" t="n"/>
      <c r="E23" s="24" t="n"/>
      <c r="F23" s="25">
        <f>IFERROR((D23-C23)*24,"")</f>
        <v/>
      </c>
      <c r="G23" s="26">
        <f>IFERROR(F23*E23,"")</f>
        <v/>
      </c>
    </row>
    <row r="24" ht="18" customHeight="1">
      <c r="A24" s="24" t="n"/>
      <c r="B24" s="24" t="n"/>
      <c r="C24" s="24" t="n"/>
      <c r="D24" s="24" t="n"/>
      <c r="E24" s="24" t="n"/>
      <c r="F24" s="25">
        <f>IFERROR((D24-C24)*24,"")</f>
        <v/>
      </c>
      <c r="G24" s="26">
        <f>IFERROR(F24*E24,"")</f>
        <v/>
      </c>
    </row>
    <row r="25" ht="18" customHeight="1">
      <c r="A25" s="24" t="n"/>
      <c r="B25" s="24" t="n"/>
      <c r="C25" s="24" t="n"/>
      <c r="D25" s="24" t="n"/>
      <c r="E25" s="24" t="n"/>
      <c r="F25" s="25">
        <f>IFERROR((D25-C25)*24,"")</f>
        <v/>
      </c>
      <c r="G25" s="26">
        <f>IFERROR(F25*E25,"")</f>
        <v/>
      </c>
    </row>
    <row r="26" ht="18" customHeight="1">
      <c r="A26" s="24" t="n"/>
      <c r="B26" s="24" t="n"/>
      <c r="C26" s="24" t="n"/>
      <c r="D26" s="24" t="n"/>
      <c r="E26" s="24" t="n"/>
      <c r="F26" s="25">
        <f>IFERROR((D26-C26)*24,"")</f>
        <v/>
      </c>
      <c r="G26" s="26">
        <f>IFERROR(F26*E26,"")</f>
        <v/>
      </c>
    </row>
    <row r="27" ht="18" customHeight="1">
      <c r="A27" s="24" t="n"/>
      <c r="B27" s="24" t="n"/>
      <c r="C27" s="24" t="n"/>
      <c r="D27" s="24" t="n"/>
      <c r="E27" s="24" t="n"/>
      <c r="F27" s="25">
        <f>IFERROR((D27-C27)*24,"")</f>
        <v/>
      </c>
      <c r="G27" s="26">
        <f>IFERROR(F27*E27,"")</f>
        <v/>
      </c>
    </row>
    <row r="28" ht="18" customHeight="1">
      <c r="A28" s="24" t="n"/>
      <c r="B28" s="24" t="n"/>
      <c r="C28" s="24" t="n"/>
      <c r="D28" s="24" t="n"/>
      <c r="E28" s="24" t="n"/>
      <c r="F28" s="25">
        <f>IFERROR((D28-C28)*24,"")</f>
        <v/>
      </c>
      <c r="G28" s="26">
        <f>IFERROR(F28*E28,"")</f>
        <v/>
      </c>
    </row>
    <row r="29" ht="18" customHeight="1">
      <c r="A29" s="24" t="n"/>
      <c r="B29" s="24" t="n"/>
      <c r="C29" s="24" t="n"/>
      <c r="D29" s="24" t="n"/>
      <c r="E29" s="24" t="n"/>
      <c r="F29" s="25">
        <f>IFERROR((D29-C29)*24,"")</f>
        <v/>
      </c>
      <c r="G29" s="26">
        <f>IFERROR(F29*E29,"")</f>
        <v/>
      </c>
    </row>
    <row r="30" ht="18" customHeight="1">
      <c r="A30" s="24" t="n"/>
      <c r="B30" s="24" t="n"/>
      <c r="C30" s="24" t="n"/>
      <c r="D30" s="24" t="n"/>
      <c r="E30" s="24" t="n"/>
      <c r="F30" s="25">
        <f>IFERROR((D30-C30)*24,"")</f>
        <v/>
      </c>
      <c r="G30" s="26">
        <f>IFERROR(F30*E30,"")</f>
        <v/>
      </c>
    </row>
    <row r="31" ht="18" customHeight="1">
      <c r="A31" s="24" t="n"/>
      <c r="B31" s="24" t="n"/>
      <c r="C31" s="24" t="n"/>
      <c r="D31" s="24" t="n"/>
      <c r="E31" s="24" t="n"/>
      <c r="F31" s="25">
        <f>IFERROR((D31-C31)*24,"")</f>
        <v/>
      </c>
      <c r="G31" s="26">
        <f>IFERROR(F31*E31,"")</f>
        <v/>
      </c>
    </row>
    <row r="32" ht="18" customHeight="1">
      <c r="A32" s="24" t="n"/>
      <c r="B32" s="24" t="n"/>
      <c r="C32" s="24" t="n"/>
      <c r="D32" s="24" t="n"/>
      <c r="E32" s="24" t="n"/>
      <c r="F32" s="25">
        <f>IFERROR((D32-C32)*24,"")</f>
        <v/>
      </c>
      <c r="G32" s="26">
        <f>IFERROR(F32*E32,"")</f>
        <v/>
      </c>
    </row>
    <row r="33" ht="18" customHeight="1">
      <c r="A33" s="24" t="n"/>
      <c r="B33" s="24" t="n"/>
      <c r="C33" s="24" t="n"/>
      <c r="D33" s="24" t="n"/>
      <c r="E33" s="24" t="n"/>
      <c r="F33" s="25">
        <f>IFERROR((D33-C33)*24,"")</f>
        <v/>
      </c>
      <c r="G33" s="26">
        <f>IFERROR(F33*E33,"")</f>
        <v/>
      </c>
    </row>
    <row r="34" ht="18" customHeight="1">
      <c r="A34" s="24" t="n"/>
      <c r="B34" s="24" t="n"/>
      <c r="C34" s="24" t="n"/>
      <c r="D34" s="24" t="n"/>
      <c r="E34" s="24" t="n"/>
      <c r="F34" s="25">
        <f>IFERROR((D34-C34)*24,"")</f>
        <v/>
      </c>
      <c r="G34" s="26">
        <f>IFERROR(F34*E34,"")</f>
        <v/>
      </c>
    </row>
    <row r="35" ht="18" customHeight="1">
      <c r="A35" s="24" t="n"/>
      <c r="B35" s="24" t="n"/>
      <c r="C35" s="24" t="n"/>
      <c r="D35" s="24" t="n"/>
      <c r="E35" s="24" t="n"/>
      <c r="F35" s="25">
        <f>IFERROR((D35-C35)*24,"")</f>
        <v/>
      </c>
      <c r="G35" s="26">
        <f>IFERROR(F35*E35,"")</f>
        <v/>
      </c>
    </row>
    <row r="36" ht="18" customHeight="1">
      <c r="A36" s="24" t="n"/>
      <c r="B36" s="24" t="n"/>
      <c r="C36" s="24" t="n"/>
      <c r="D36" s="24" t="n"/>
      <c r="E36" s="24" t="n"/>
      <c r="F36" s="25">
        <f>IFERROR((D36-C36)*24,"")</f>
        <v/>
      </c>
      <c r="G36" s="26">
        <f>IFERROR(F36*E36,"")</f>
        <v/>
      </c>
    </row>
    <row r="37" ht="18" customHeight="1">
      <c r="A37" s="24" t="n"/>
      <c r="B37" s="24" t="n"/>
      <c r="C37" s="24" t="n"/>
      <c r="D37" s="24" t="n"/>
      <c r="E37" s="24" t="n"/>
      <c r="F37" s="25">
        <f>IFERROR((D37-C37)*24,"")</f>
        <v/>
      </c>
      <c r="G37" s="26">
        <f>IFERROR(F37*E37,"")</f>
        <v/>
      </c>
    </row>
    <row r="38" ht="18" customHeight="1">
      <c r="A38" s="24" t="n"/>
      <c r="B38" s="24" t="n"/>
      <c r="C38" s="24" t="n"/>
      <c r="D38" s="24" t="n"/>
      <c r="E38" s="24" t="n"/>
      <c r="F38" s="25">
        <f>IFERROR((D38-C38)*24,"")</f>
        <v/>
      </c>
      <c r="G38" s="26">
        <f>IFERROR(F38*E38,"")</f>
        <v/>
      </c>
    </row>
    <row r="39" ht="18" customHeight="1">
      <c r="A39" s="24" t="n"/>
      <c r="B39" s="24" t="n"/>
      <c r="C39" s="24" t="n"/>
      <c r="D39" s="24" t="n"/>
      <c r="E39" s="24" t="n"/>
      <c r="F39" s="25">
        <f>IFERROR((D39-C39)*24,"")</f>
        <v/>
      </c>
      <c r="G39" s="26">
        <f>IFERROR(F39*E39,"")</f>
        <v/>
      </c>
    </row>
    <row r="40" ht="18" customHeight="1">
      <c r="A40" s="24" t="n"/>
      <c r="B40" s="24" t="n"/>
      <c r="C40" s="24" t="n"/>
      <c r="D40" s="24" t="n"/>
      <c r="E40" s="24" t="n"/>
      <c r="F40" s="25">
        <f>IFERROR((D40-C40)*24,"")</f>
        <v/>
      </c>
      <c r="G40" s="26">
        <f>IFERROR(F40*E40,"")</f>
        <v/>
      </c>
    </row>
    <row r="41" ht="18" customHeight="1">
      <c r="A41" s="24" t="n"/>
      <c r="B41" s="24" t="n"/>
      <c r="C41" s="24" t="n"/>
      <c r="D41" s="24" t="n"/>
      <c r="E41" s="24" t="n"/>
      <c r="F41" s="25">
        <f>IFERROR((D41-C41)*24,"")</f>
        <v/>
      </c>
      <c r="G41" s="26">
        <f>IFERROR(F41*E41,"")</f>
        <v/>
      </c>
    </row>
    <row r="42" ht="18" customHeight="1">
      <c r="A42" s="24" t="n"/>
      <c r="B42" s="24" t="n"/>
      <c r="C42" s="24" t="n"/>
      <c r="D42" s="24" t="n"/>
      <c r="E42" s="24" t="n"/>
      <c r="F42" s="25">
        <f>IFERROR((D42-C42)*24,"")</f>
        <v/>
      </c>
      <c r="G42" s="26">
        <f>IFERROR(F42*E42,"")</f>
        <v/>
      </c>
    </row>
    <row r="43" ht="18" customHeight="1">
      <c r="A43" s="24" t="n"/>
      <c r="B43" s="24" t="n"/>
      <c r="C43" s="24" t="n"/>
      <c r="D43" s="24" t="n"/>
      <c r="E43" s="24" t="n"/>
      <c r="F43" s="25">
        <f>IFERROR((D43-C43)*24,"")</f>
        <v/>
      </c>
      <c r="G43" s="26">
        <f>IFERROR(F43*E43,"")</f>
        <v/>
      </c>
    </row>
    <row r="44" ht="18" customHeight="1">
      <c r="A44" s="24" t="n"/>
      <c r="B44" s="24" t="n"/>
      <c r="C44" s="24" t="n"/>
      <c r="D44" s="24" t="n"/>
      <c r="E44" s="24" t="n"/>
      <c r="F44" s="25">
        <f>IFERROR((D44-C44)*24,"")</f>
        <v/>
      </c>
      <c r="G44" s="26">
        <f>IFERROR(F44*E44,"")</f>
        <v/>
      </c>
    </row>
    <row r="45" ht="18" customHeight="1">
      <c r="A45" s="24" t="n"/>
      <c r="B45" s="24" t="n"/>
      <c r="C45" s="24" t="n"/>
      <c r="D45" s="24" t="n"/>
      <c r="E45" s="24" t="n"/>
      <c r="F45" s="25">
        <f>IFERROR((D45-C45)*24,"")</f>
        <v/>
      </c>
      <c r="G45" s="26">
        <f>IFERROR(F45*E45,"")</f>
        <v/>
      </c>
    </row>
    <row r="46" ht="18" customHeight="1">
      <c r="A46" s="24" t="n"/>
      <c r="B46" s="24" t="n"/>
      <c r="C46" s="24" t="n"/>
      <c r="D46" s="24" t="n"/>
      <c r="E46" s="24" t="n"/>
      <c r="F46" s="25">
        <f>IFERROR((D46-C46)*24,"")</f>
        <v/>
      </c>
      <c r="G46" s="26">
        <f>IFERROR(F46*E46,"")</f>
        <v/>
      </c>
    </row>
    <row r="47" ht="18" customHeight="1">
      <c r="A47" s="24" t="n"/>
      <c r="B47" s="24" t="n"/>
      <c r="C47" s="24" t="n"/>
      <c r="D47" s="24" t="n"/>
      <c r="E47" s="24" t="n"/>
      <c r="F47" s="25">
        <f>IFERROR((D47-C47)*24,"")</f>
        <v/>
      </c>
      <c r="G47" s="26">
        <f>IFERROR(F47*E47,"")</f>
        <v/>
      </c>
    </row>
    <row r="48" ht="18" customHeight="1">
      <c r="A48" s="24" t="n"/>
      <c r="B48" s="24" t="n"/>
      <c r="C48" s="24" t="n"/>
      <c r="D48" s="24" t="n"/>
      <c r="E48" s="24" t="n"/>
      <c r="F48" s="25">
        <f>IFERROR((D48-C48)*24,"")</f>
        <v/>
      </c>
      <c r="G48" s="26">
        <f>IFERROR(F48*E48,"")</f>
        <v/>
      </c>
    </row>
    <row r="49" ht="18" customHeight="1">
      <c r="A49" s="24" t="n"/>
      <c r="B49" s="24" t="n"/>
      <c r="C49" s="24" t="n"/>
      <c r="D49" s="24" t="n"/>
      <c r="E49" s="24" t="n"/>
      <c r="F49" s="25">
        <f>IFERROR((D49-C49)*24,"")</f>
        <v/>
      </c>
      <c r="G49" s="26">
        <f>IFERROR(F49*E49,"")</f>
        <v/>
      </c>
    </row>
    <row r="50" ht="18" customHeight="1">
      <c r="A50" s="24" t="n"/>
      <c r="B50" s="24" t="n"/>
      <c r="C50" s="24" t="n"/>
      <c r="D50" s="24" t="n"/>
      <c r="E50" s="24" t="n"/>
      <c r="F50" s="25">
        <f>IFERROR((D50-C50)*24,"")</f>
        <v/>
      </c>
      <c r="G50" s="26">
        <f>IFERROR(F50*E50,"")</f>
        <v/>
      </c>
    </row>
    <row r="51" ht="18" customHeight="1">
      <c r="A51" s="24" t="n"/>
      <c r="B51" s="24" t="n"/>
      <c r="C51" s="24" t="n"/>
      <c r="D51" s="24" t="n"/>
      <c r="E51" s="24" t="n"/>
      <c r="F51" s="25">
        <f>IFERROR((D51-C51)*24,"")</f>
        <v/>
      </c>
      <c r="G51" s="26">
        <f>IFERROR(F51*E51,"")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2" customWidth="1" min="4" max="4"/>
    <col width="16" customWidth="1" min="5" max="5"/>
    <col width="12" customWidth="1" min="6" max="6"/>
    <col width="12" customWidth="1" min="7" max="7"/>
  </cols>
  <sheetData>
    <row r="1" ht="26" customHeight="1">
      <c r="A1" s="1" t="inlineStr">
        <is>
          <t>07  分析ダッシュボード　―　自動集計・可視化</t>
        </is>
      </c>
    </row>
    <row r="3">
      <c r="A3" s="27" t="inlineStr">
        <is>
          <t>■ KPI サマリ</t>
        </is>
      </c>
      <c r="D3" s="27" t="inlineStr">
        <is>
          <t>■ 商品別売上ランキング</t>
        </is>
      </c>
    </row>
    <row r="4" ht="20" customHeight="1">
      <c r="A4" s="28" t="inlineStr">
        <is>
          <t>総売上合計</t>
        </is>
      </c>
      <c r="B4" s="29">
        <f>IFERROR(SUMIF('01_売上入力'!G3:G51,"&gt;0",'01_売上入力'!G3:G51),0)</f>
        <v/>
      </c>
      <c r="D4" s="2" t="inlineStr">
        <is>
          <t>商品名</t>
        </is>
      </c>
      <c r="E4" s="2" t="inlineStr">
        <is>
          <t>売上合計 (円)</t>
        </is>
      </c>
      <c r="F4" s="2" t="inlineStr">
        <is>
          <t>販売数</t>
        </is>
      </c>
      <c r="G4" s="2" t="inlineStr">
        <is>
          <t>廃棄数</t>
        </is>
      </c>
    </row>
    <row r="5" ht="20" customHeight="1">
      <c r="A5" s="28" t="inlineStr">
        <is>
          <t>総廃棄金額</t>
        </is>
      </c>
      <c r="B5" s="29">
        <f>IFERROR(SUM('04_廃棄入力'!E3:E51),0)</f>
        <v/>
      </c>
      <c r="D5" s="30" t="inlineStr">
        <is>
          <t>食パン（1斤）</t>
        </is>
      </c>
      <c r="E5" s="7">
        <f>IFERROR(SUMIF('01_売上入力'!D:D,D5,'01_売上入力'!G:G),0)</f>
        <v/>
      </c>
      <c r="F5" s="20">
        <f>IFERROR(SUMIF('01_売上入力'!D:D,D5,'01_売上入力'!E:E),0)</f>
        <v/>
      </c>
      <c r="G5" s="20">
        <f>IFERROR(SUMIF('04_廃棄入力'!B:B,D5,'04_廃棄入力'!C:C),0)</f>
        <v/>
      </c>
    </row>
    <row r="6" ht="20" customHeight="1">
      <c r="A6" s="28" t="inlineStr">
        <is>
          <t>総人件費</t>
        </is>
      </c>
      <c r="B6" s="29">
        <f>IFERROR(SUM('06_人件費'!G3:G51),0)</f>
        <v/>
      </c>
      <c r="D6" s="30" t="inlineStr">
        <is>
          <t>ベーグル（プレーン）</t>
        </is>
      </c>
      <c r="E6" s="7">
        <f>IFERROR(SUMIF('01_売上入力'!D:D,D6,'01_売上入力'!G:G),0)</f>
        <v/>
      </c>
      <c r="F6" s="20">
        <f>IFERROR(SUMIF('01_売上入力'!D:D,D6,'01_売上入力'!E:E),0)</f>
        <v/>
      </c>
      <c r="G6" s="20">
        <f>IFERROR(SUMIF('04_廃棄入力'!B:B,D6,'04_廃棄入力'!C:C),0)</f>
        <v/>
      </c>
    </row>
    <row r="7" ht="20" customHeight="1">
      <c r="A7" s="28" t="inlineStr">
        <is>
          <t>粗利合計</t>
        </is>
      </c>
      <c r="B7" s="29">
        <f>IFERROR(B4-B5-B6,0)</f>
        <v/>
      </c>
      <c r="D7" s="30" t="inlineStr">
        <is>
          <t>クロワッサン</t>
        </is>
      </c>
      <c r="E7" s="7">
        <f>IFERROR(SUMIF('01_売上入力'!D:D,D7,'01_売上入力'!G:G),0)</f>
        <v/>
      </c>
      <c r="F7" s="20">
        <f>IFERROR(SUMIF('01_売上入力'!D:D,D7,'01_売上入力'!E:E),0)</f>
        <v/>
      </c>
      <c r="G7" s="20">
        <f>IFERROR(SUMIF('04_廃棄入力'!B:B,D7,'04_廃棄入力'!C:C),0)</f>
        <v/>
      </c>
    </row>
    <row r="8">
      <c r="D8" s="30" t="inlineStr">
        <is>
          <t>カレーパン</t>
        </is>
      </c>
      <c r="E8" s="7">
        <f>IFERROR(SUMIF('01_売上入力'!D:D,D8,'01_売上入力'!G:G),0)</f>
        <v/>
      </c>
      <c r="F8" s="20">
        <f>IFERROR(SUMIF('01_売上入力'!D:D,D8,'01_売上入力'!E:E),0)</f>
        <v/>
      </c>
      <c r="G8" s="20">
        <f>IFERROR(SUMIF('04_廃棄入力'!B:B,D8,'04_廃棄入力'!C:C),0)</f>
        <v/>
      </c>
    </row>
    <row r="9">
      <c r="D9" s="30" t="inlineStr">
        <is>
          <t>メロンパン</t>
        </is>
      </c>
      <c r="E9" s="7">
        <f>IFERROR(SUMIF('01_売上入力'!D:D,D9,'01_売上入力'!G:G),0)</f>
        <v/>
      </c>
      <c r="F9" s="20">
        <f>IFERROR(SUMIF('01_売上入力'!D:D,D9,'01_売上入力'!E:E),0)</f>
        <v/>
      </c>
      <c r="G9" s="20">
        <f>IFERROR(SUMIF('04_廃棄入力'!B:B,D9,'04_廃棄入力'!C:C),0)</f>
        <v/>
      </c>
    </row>
    <row r="10">
      <c r="D10" s="30" t="inlineStr">
        <is>
          <t>チョコデニッシュ</t>
        </is>
      </c>
      <c r="E10" s="7">
        <f>IFERROR(SUMIF('01_売上入力'!D:D,D10,'01_売上入力'!G:G),0)</f>
        <v/>
      </c>
      <c r="F10" s="20">
        <f>IFERROR(SUMIF('01_売上入力'!D:D,D10,'01_売上入力'!E:E),0)</f>
        <v/>
      </c>
      <c r="G10" s="20">
        <f>IFERROR(SUMIF('04_廃棄入力'!B:B,D10,'04_廃棄入力'!C:C),0)</f>
        <v/>
      </c>
    </row>
    <row r="11">
      <c r="D11" s="30" t="inlineStr">
        <is>
          <t>バゲット</t>
        </is>
      </c>
      <c r="E11" s="7">
        <f>IFERROR(SUMIF('01_売上入力'!D:D,D11,'01_売上入力'!G:G),0)</f>
        <v/>
      </c>
      <c r="F11" s="20">
        <f>IFERROR(SUMIF('01_売上入力'!D:D,D11,'01_売上入力'!E:E),0)</f>
        <v/>
      </c>
      <c r="G11" s="20">
        <f>IFERROR(SUMIF('04_廃棄入力'!B:B,D11,'04_廃棄入力'!C:C),0)</f>
        <v/>
      </c>
    </row>
    <row r="12">
      <c r="D12" s="30" t="inlineStr">
        <is>
          <t>シナモンロール</t>
        </is>
      </c>
      <c r="E12" s="7">
        <f>IFERROR(SUMIF('01_売上入力'!D:D,D12,'01_売上入力'!G:G),0)</f>
        <v/>
      </c>
      <c r="F12" s="20">
        <f>IFERROR(SUMIF('01_売上入力'!D:D,D12,'01_売上入力'!E:E),0)</f>
        <v/>
      </c>
      <c r="G12" s="20">
        <f>IFERROR(SUMIF('04_廃棄入力'!B:B,D12,'04_廃棄入力'!C:C),0)</f>
        <v/>
      </c>
    </row>
    <row r="14">
      <c r="A14" s="27" t="inlineStr">
        <is>
          <t>■ 時間帯別売上</t>
        </is>
      </c>
    </row>
    <row r="15">
      <c r="A15" s="2" t="inlineStr">
        <is>
          <t>時間帯</t>
        </is>
      </c>
      <c r="B15" s="2" t="inlineStr">
        <is>
          <t>売上 (円)</t>
        </is>
      </c>
      <c r="C15" s="2" t="inlineStr">
        <is>
          <t>販売数</t>
        </is>
      </c>
    </row>
    <row r="16">
      <c r="A16" s="30" t="inlineStr">
        <is>
          <t>8-9</t>
        </is>
      </c>
      <c r="B16" s="7">
        <f>IFERROR(SUMIF('01_売上入力'!C:C,A16,'01_売上入力'!G:G),0)</f>
        <v/>
      </c>
      <c r="C16" s="20">
        <f>IFERROR(SUMIF('01_売上入力'!C:C,A16,'01_売上入力'!E:E),0)</f>
        <v/>
      </c>
    </row>
    <row r="17">
      <c r="A17" s="30" t="inlineStr">
        <is>
          <t>9-10</t>
        </is>
      </c>
      <c r="B17" s="7">
        <f>IFERROR(SUMIF('01_売上入力'!C:C,A17,'01_売上入力'!G:G),0)</f>
        <v/>
      </c>
      <c r="C17" s="20">
        <f>IFERROR(SUMIF('01_売上入力'!C:C,A17,'01_売上入力'!E:E),0)</f>
        <v/>
      </c>
    </row>
    <row r="18">
      <c r="A18" s="30" t="inlineStr">
        <is>
          <t>10-11</t>
        </is>
      </c>
      <c r="B18" s="7">
        <f>IFERROR(SUMIF('01_売上入力'!C:C,A18,'01_売上入力'!G:G),0)</f>
        <v/>
      </c>
      <c r="C18" s="20">
        <f>IFERROR(SUMIF('01_売上入力'!C:C,A18,'01_売上入力'!E:E),0)</f>
        <v/>
      </c>
    </row>
    <row r="19">
      <c r="A19" s="30" t="inlineStr">
        <is>
          <t>11-12</t>
        </is>
      </c>
      <c r="B19" s="7">
        <f>IFERROR(SUMIF('01_売上入力'!C:C,A19,'01_売上入力'!G:G),0)</f>
        <v/>
      </c>
      <c r="C19" s="20">
        <f>IFERROR(SUMIF('01_売上入力'!C:C,A19,'01_売上入力'!E:E),0)</f>
        <v/>
      </c>
    </row>
    <row r="20">
      <c r="A20" s="30" t="inlineStr">
        <is>
          <t>12-13</t>
        </is>
      </c>
      <c r="B20" s="7">
        <f>IFERROR(SUMIF('01_売上入力'!C:C,A20,'01_売上入力'!G:G),0)</f>
        <v/>
      </c>
      <c r="C20" s="20">
        <f>IFERROR(SUMIF('01_売上入力'!C:C,A20,'01_売上入力'!E:E),0)</f>
        <v/>
      </c>
    </row>
    <row r="21">
      <c r="A21" s="30" t="inlineStr">
        <is>
          <t>13-14</t>
        </is>
      </c>
      <c r="B21" s="7">
        <f>IFERROR(SUMIF('01_売上入力'!C:C,A21,'01_売上入力'!G:G),0)</f>
        <v/>
      </c>
      <c r="C21" s="20">
        <f>IFERROR(SUMIF('01_売上入力'!C:C,A21,'01_売上入力'!E:E),0)</f>
        <v/>
      </c>
    </row>
    <row r="22">
      <c r="A22" s="30" t="inlineStr">
        <is>
          <t>14-15</t>
        </is>
      </c>
      <c r="B22" s="7">
        <f>IFERROR(SUMIF('01_売上入力'!C:C,A22,'01_売上入力'!G:G),0)</f>
        <v/>
      </c>
      <c r="C22" s="20">
        <f>IFERROR(SUMIF('01_売上入力'!C:C,A22,'01_売上入力'!E:E),0)</f>
        <v/>
      </c>
    </row>
    <row r="23">
      <c r="A23" s="30" t="inlineStr">
        <is>
          <t>15-16</t>
        </is>
      </c>
      <c r="B23" s="7">
        <f>IFERROR(SUMIF('01_売上入力'!C:C,A23,'01_売上入力'!G:G),0)</f>
        <v/>
      </c>
      <c r="C23" s="20">
        <f>IFERROR(SUMIF('01_売上入力'!C:C,A23,'01_売上入力'!E:E),0)</f>
        <v/>
      </c>
    </row>
  </sheetData>
  <mergeCells count="4">
    <mergeCell ref="A1:J1"/>
    <mergeCell ref="A3:B3"/>
    <mergeCell ref="A14:C14"/>
    <mergeCell ref="D3:G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8" customWidth="1" min="3" max="3"/>
    <col width="28" customWidth="1" min="4" max="4"/>
    <col width="10" customWidth="1" min="5" max="5"/>
  </cols>
  <sheetData>
    <row r="1" ht="22" customHeight="1">
      <c r="A1" s="1" t="inlineStr">
        <is>
          <t>08  改善提案　―　AIへの貼り付け用・経営課題の整理</t>
        </is>
      </c>
    </row>
    <row r="2">
      <c r="A2" s="31" t="inlineStr">
        <is>
          <t>分析区分</t>
        </is>
      </c>
      <c r="B2" s="31" t="inlineStr">
        <is>
          <t>問題・指標</t>
        </is>
      </c>
      <c r="C2" s="31" t="inlineStr">
        <is>
          <t>考えられる原因</t>
        </is>
      </c>
      <c r="D2" s="31" t="inlineStr">
        <is>
          <t>改善案</t>
        </is>
      </c>
      <c r="E2" s="31" t="inlineStr">
        <is>
          <t>優先度</t>
        </is>
      </c>
    </row>
    <row r="3" ht="40" customHeight="1">
      <c r="A3" s="32" t="inlineStr">
        <is>
          <t>利益</t>
        </is>
      </c>
      <c r="B3" s="32">
        <f>IFERROR("粗利率最低商品: "&amp;INDEX('02_商品マスタ'!B:B,MATCH(MIN('02_商品マスタ'!I:I),'02_商品マスタ'!I:I,0)),"データなし")</f>
        <v/>
      </c>
      <c r="C3" s="32" t="inlineStr">
        <is>
          <t>原価高騰 / 販売価格が低い</t>
        </is>
      </c>
      <c r="D3" s="32" t="inlineStr">
        <is>
          <t>値上げ検討 or 原価見直し</t>
        </is>
      </c>
      <c r="E3" s="33" t="inlineStr">
        <is>
          <t>高</t>
        </is>
      </c>
    </row>
    <row r="4" ht="40" customHeight="1">
      <c r="A4" s="32" t="inlineStr">
        <is>
          <t>廃棄</t>
        </is>
      </c>
      <c r="B4" s="32">
        <f>IFERROR("廃棄金額合計: "&amp;TEXT(SUM('04_廃棄入力'!E:E),"#,##0")&amp;"円","データなし")</f>
        <v/>
      </c>
      <c r="C4" s="32" t="inlineStr">
        <is>
          <t>製造数が需要を上回っている</t>
        </is>
      </c>
      <c r="D4" s="32" t="inlineStr">
        <is>
          <t>製造数を販売実績に合わせて削減</t>
        </is>
      </c>
      <c r="E4" s="33" t="inlineStr">
        <is>
          <t>高</t>
        </is>
      </c>
    </row>
    <row r="5" ht="40" customHeight="1">
      <c r="A5" s="32" t="inlineStr">
        <is>
          <t>製造</t>
        </is>
      </c>
      <c r="B5" s="32">
        <f>IFERROR("最も製造時間がかかる商品: "&amp;INDEX('05_製造時間'!A:A,MATCH(MAX('05_製造時間'!E:E),'05_製造時間'!E:E,0)),"データなし")</f>
        <v/>
      </c>
      <c r="C5" s="32" t="inlineStr">
        <is>
          <t>工程が複雑 / 人手不足</t>
        </is>
      </c>
      <c r="D5" s="32" t="inlineStr">
        <is>
          <t>製造工程の見直し or 販売終了検討</t>
        </is>
      </c>
      <c r="E5" s="34" t="inlineStr">
        <is>
          <t>中</t>
        </is>
      </c>
    </row>
    <row r="6" ht="40" customHeight="1">
      <c r="A6" s="32" t="inlineStr">
        <is>
          <t>人件費</t>
        </is>
      </c>
      <c r="B6" s="32">
        <f>IFERROR("人件費合計: "&amp;TEXT(SUM('06_人件費'!G:G),"#,##0")&amp;"円","データなし")</f>
        <v/>
      </c>
      <c r="C6" s="32" t="inlineStr">
        <is>
          <t>シフト過多 / 残業</t>
        </is>
      </c>
      <c r="D6" s="32" t="inlineStr">
        <is>
          <t>売上ピーク時間帯に集中したシフト設計</t>
        </is>
      </c>
      <c r="E6" s="34" t="inlineStr">
        <is>
          <t>中</t>
        </is>
      </c>
    </row>
    <row r="7" ht="40" customHeight="1">
      <c r="A7" s="32" t="inlineStr">
        <is>
          <t>時間帯</t>
        </is>
      </c>
      <c r="B7" s="32" t="inlineStr">
        <is>
          <t>ピーク時間帯の売上集中確認</t>
        </is>
      </c>
      <c r="C7" s="32" t="inlineStr">
        <is>
          <t>焼成タイミングとピーク時間がズレている</t>
        </is>
      </c>
      <c r="D7" s="32" t="inlineStr">
        <is>
          <t>時間帯別データを元に焼成スケジュールを調整</t>
        </is>
      </c>
      <c r="E7" s="33" t="inlineStr">
        <is>
          <t>高</t>
        </is>
      </c>
    </row>
    <row r="10" ht="60" customHeight="1">
      <c r="A10" s="35" t="inlineStr">
        <is>
          <t>【Claude / ChatGPT への貼り付け方】
このシートの内容をコピーして以下のプロンプトと一緒に貼り付けてください：
「以下はパン屋の経営データ分析です。改善策を具体的に提案してください。」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2026-05-28T12:34:55Z</dcterms:created>
  <dcterms:modified xsi:type="dcterms:W3CDTF">2026-05-28T12:34:55Z</dcterms:modified>
</cp:coreProperties>
</file>