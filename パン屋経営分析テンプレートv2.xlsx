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売上入力" sheetId="1" state="visible" r:id="rId1"/>
    <sheet name="02_商品マスタ" sheetId="2" state="visible" r:id="rId2"/>
    <sheet name="03_原価管理" sheetId="3" state="visible" r:id="rId3"/>
    <sheet name="04_廃棄入力" sheetId="4" state="visible" r:id="rId4"/>
    <sheet name="05_製造時間" sheetId="5" state="visible" r:id="rId5"/>
    <sheet name="06_人件費" sheetId="6" state="visible" r:id="rId6"/>
    <sheet name="07_分析ダッシュボード" sheetId="7" state="visible" r:id="rId7"/>
    <sheet name="日次サマリ" sheetId="8" state="visible" r:id="rId8"/>
    <sheet name="月次サマリ" sheetId="9" state="visible" r:id="rId9"/>
    <sheet name="08_改善提案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YYYY/MM/DD"/>
    <numFmt numFmtId="166" formatCode="#,##0;(#,##0);&quot;-&quot;"/>
    <numFmt numFmtId="167" formatCode="#,##0&quot;円&quot;;(#,##0&quot;円&quot;);&quot;-&quot;"/>
    <numFmt numFmtId="168" formatCode="0.0%"/>
    <numFmt numFmtId="169" formatCode="HH:MM"/>
    <numFmt numFmtId="170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1"/>
    </font>
    <font>
      <name val="Arial"/>
      <sz val="10"/>
    </font>
    <font>
      <name val="Arial"/>
      <b val="1"/>
      <color rgb="000000FF"/>
      <sz val="10"/>
    </font>
    <font>
      <name val="Arial"/>
      <color rgb="000000FF"/>
      <sz val="10"/>
    </font>
    <font>
      <name val="Arial"/>
      <i val="1"/>
      <color rgb="001F3864"/>
      <sz val="10"/>
    </font>
  </fonts>
  <fills count="21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843C0C"/>
      </patternFill>
    </fill>
    <fill>
      <patternFill patternType="solid">
        <fgColor rgb="00C00000"/>
      </patternFill>
    </fill>
    <fill>
      <patternFill patternType="solid">
        <fgColor rgb="00FFF2F2"/>
      </patternFill>
    </fill>
    <fill>
      <patternFill patternType="solid">
        <fgColor rgb="00833C00"/>
      </patternFill>
    </fill>
    <fill>
      <patternFill patternType="solid">
        <fgColor rgb="004B0082"/>
      </patternFill>
    </fill>
    <fill>
      <patternFill patternType="solid">
        <fgColor rgb="00F5F0FF"/>
      </patternFill>
    </fill>
    <fill>
      <patternFill patternType="solid">
        <fgColor rgb="00E9EFF7"/>
      </patternFill>
    </fill>
    <fill>
      <patternFill patternType="solid">
        <fgColor rgb="001F497D"/>
      </patternFill>
    </fill>
    <fill>
      <patternFill patternType="solid">
        <fgColor rgb="00375623"/>
      </patternFill>
    </fill>
    <fill>
      <patternFill patternType="solid">
        <fgColor rgb="00FF8C00"/>
      </patternFill>
    </fill>
    <fill>
      <patternFill patternType="solid">
        <fgColor rgb="00FFFFC0"/>
      </patternFill>
    </fill>
    <fill>
      <patternFill patternType="solid">
        <fgColor rgb="00F5FBFF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EBF3FB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165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166" fontId="3" fillId="0" borderId="2" applyAlignment="1" pivotButton="0" quotePrefix="0" xfId="0">
      <alignment vertical="center"/>
    </xf>
    <xf numFmtId="167" fontId="3" fillId="0" borderId="2" applyAlignment="1" pivotButton="0" quotePrefix="0" xfId="0">
      <alignment vertical="center"/>
    </xf>
    <xf numFmtId="167" fontId="3" fillId="0" borderId="2" pivotButton="0" quotePrefix="0" xfId="0"/>
    <xf numFmtId="165" fontId="0" fillId="4" borderId="2" pivotButton="0" quotePrefix="0" xfId="0"/>
    <xf numFmtId="0" fontId="0" fillId="4" borderId="2" pivotButton="0" quotePrefix="0" xfId="0"/>
    <xf numFmtId="166" fontId="0" fillId="4" borderId="2" pivotButton="0" quotePrefix="0" xfId="0"/>
    <xf numFmtId="167" fontId="0" fillId="4" borderId="2" pivotButton="0" quotePrefix="0" xfId="0"/>
    <xf numFmtId="167" fontId="3" fillId="4" borderId="2" pivotButton="0" quotePrefix="0" xfId="0"/>
    <xf numFmtId="0" fontId="2" fillId="5" borderId="1" applyAlignment="1" pivotButton="0" quotePrefix="0" xfId="0">
      <alignment horizontal="center" vertical="center" wrapText="1"/>
    </xf>
    <xf numFmtId="168" fontId="3" fillId="0" borderId="2" pivotButton="0" quotePrefix="0" xfId="0"/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8" borderId="2" pivotButton="0" quotePrefix="0" xfId="0"/>
    <xf numFmtId="0" fontId="3" fillId="8" borderId="2" pivotButton="0" quotePrefix="0" xfId="0"/>
    <xf numFmtId="0" fontId="2" fillId="9" borderId="1" applyAlignment="1" pivotButton="0" quotePrefix="0" xfId="0">
      <alignment horizontal="center" vertical="center" wrapText="1"/>
    </xf>
    <xf numFmtId="166" fontId="3" fillId="0" borderId="2" pivotButton="0" quotePrefix="0" xfId="0"/>
    <xf numFmtId="0" fontId="2" fillId="10" borderId="1" applyAlignment="1" pivotButton="0" quotePrefix="0" xfId="0">
      <alignment horizontal="center" vertical="center" wrapText="1"/>
    </xf>
    <xf numFmtId="169" fontId="3" fillId="0" borderId="2" applyAlignment="1" pivotButton="0" quotePrefix="0" xfId="0">
      <alignment vertical="center"/>
    </xf>
    <xf numFmtId="170" fontId="3" fillId="0" borderId="2" pivotButton="0" quotePrefix="0" xfId="0"/>
    <xf numFmtId="0" fontId="0" fillId="11" borderId="2" pivotButton="0" quotePrefix="0" xfId="0"/>
    <xf numFmtId="0" fontId="3" fillId="11" borderId="2" pivotButton="0" quotePrefix="0" xfId="0"/>
    <xf numFmtId="167" fontId="3" fillId="11" borderId="2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12" borderId="3" applyAlignment="1" pivotButton="0" quotePrefix="0" xfId="0">
      <alignment vertical="center"/>
    </xf>
    <xf numFmtId="167" fontId="7" fillId="0" borderId="3" applyAlignment="1" pivotButton="0" quotePrefix="0" xfId="0">
      <alignment horizontal="right" vertical="center"/>
    </xf>
    <xf numFmtId="0" fontId="0" fillId="12" borderId="3" pivotButton="0" quotePrefix="0" xfId="0"/>
    <xf numFmtId="0" fontId="8" fillId="0" borderId="2" pivotButton="0" quotePrefix="0" xfId="0"/>
    <xf numFmtId="166" fontId="7" fillId="0" borderId="3" applyAlignment="1" pivotButton="0" quotePrefix="0" xfId="0">
      <alignment horizontal="right" vertical="center"/>
    </xf>
    <xf numFmtId="0" fontId="2" fillId="13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165" fontId="8" fillId="0" borderId="2" pivotButton="0" quotePrefix="0" xfId="0"/>
    <xf numFmtId="166" fontId="9" fillId="16" borderId="2" pivotButton="0" quotePrefix="0" xfId="0"/>
    <xf numFmtId="0" fontId="0" fillId="17" borderId="2" pivotButton="0" quotePrefix="0" xfId="0"/>
    <xf numFmtId="0" fontId="10" fillId="16" borderId="2" pivotButton="0" quotePrefix="0" xfId="0"/>
    <xf numFmtId="167" fontId="3" fillId="17" borderId="2" pivotButton="0" quotePrefix="0" xfId="0"/>
    <xf numFmtId="166" fontId="3" fillId="17" borderId="2" pivotButton="0" quotePrefix="0" xfId="0"/>
    <xf numFmtId="166" fontId="3" fillId="16" borderId="2" pivotButton="0" quotePrefix="0" xfId="0"/>
    <xf numFmtId="166" fontId="3" fillId="11" borderId="2" pivotButton="0" quotePrefix="0" xfId="0"/>
    <xf numFmtId="0" fontId="3" fillId="0" borderId="2" applyAlignment="1" pivotButton="0" quotePrefix="0" xfId="0">
      <alignment vertical="center" wrapText="1"/>
    </xf>
    <xf numFmtId="0" fontId="3" fillId="18" borderId="2" applyAlignment="1" pivotButton="0" quotePrefix="0" xfId="0">
      <alignment vertical="center" wrapText="1"/>
    </xf>
    <xf numFmtId="0" fontId="3" fillId="19" borderId="2" applyAlignment="1" pivotButton="0" quotePrefix="0" xfId="0">
      <alignment vertical="center" wrapText="1"/>
    </xf>
    <xf numFmtId="0" fontId="11" fillId="2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時間帯別売上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'07_分析ダッシュボード'!B14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'07_分析ダッシュボード'!$A$15:$A$22</f>
            </numRef>
          </cat>
          <val>
            <numRef>
              <f>'07_分析ダッシュボード'!$B$15:$B$22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時間帯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売上 (円)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商品別売上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'07_分析ダッシュボード'!F4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'07_分析ダッシュボード'!$E$5:$E$12</f>
            </numRef>
          </cat>
          <val>
            <numRef>
              <f>'07_分析ダッシュボード'!$F$5:$F$12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売上 (円)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商品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日別売上推移</a:t>
            </a:r>
          </a:p>
        </rich>
      </tx>
    </title>
    <plotArea>
      <lineChart>
        <grouping val="standard"/>
        <ser>
          <idx val="0"/>
          <order val="0"/>
          <tx>
            <strRef>
              <f>'日次サマリ'!C2</f>
            </strRef>
          </tx>
          <spPr>
            <a:ln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'日次サマリ'!$A$3:$A$5</f>
            </numRef>
          </cat>
          <val>
            <numRef>
              <f>'日次サマリ'!$C$3:$C$5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売上 (円)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月別売上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'月次サマリ'!B2</f>
            </strRef>
          </tx>
          <spPr>
            <a:solidFill>
              <a:srgbClr val="7030A0"/>
            </a:solidFill>
            <a:ln>
              <a:prstDash val="solid"/>
            </a:ln>
          </spPr>
          <cat>
            <numRef>
              <f>'月次サマリ'!$A$3</f>
            </numRef>
          </cat>
          <val>
            <numRef>
              <f>'月次サマリ'!$B$3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月商 (円)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30</row>
      <rowOff>0</rowOff>
    </from>
    <ext cx="720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G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22" customWidth="1" min="4" max="4"/>
    <col width="8" customWidth="1" min="5" max="5"/>
    <col width="12" customWidth="1" min="6" max="6"/>
    <col width="12" customWidth="1" min="7" max="7"/>
  </cols>
  <sheetData>
    <row r="1" ht="24" customHeight="1">
      <c r="A1" s="1" t="inlineStr">
        <is>
          <t>01  売上入力シート　―　日々の販売データを入力してください</t>
        </is>
      </c>
    </row>
    <row r="2" ht="20" customHeight="1">
      <c r="A2" s="2" t="inlineStr">
        <is>
          <t>日付</t>
        </is>
      </c>
      <c r="B2" s="2" t="inlineStr">
        <is>
          <t>曜日</t>
        </is>
      </c>
      <c r="C2" s="2" t="inlineStr">
        <is>
          <t>時間帯</t>
        </is>
      </c>
      <c r="D2" s="2" t="inlineStr">
        <is>
          <t>商品名</t>
        </is>
      </c>
      <c r="E2" s="2" t="inlineStr">
        <is>
          <t>数量</t>
        </is>
      </c>
      <c r="F2" s="2" t="inlineStr">
        <is>
          <t>単価 (円)</t>
        </is>
      </c>
      <c r="G2" s="2" t="inlineStr">
        <is>
          <t>売上 (円)</t>
        </is>
      </c>
    </row>
    <row r="3" ht="18" customHeight="1">
      <c r="A3" s="3" t="n">
        <v>45444</v>
      </c>
      <c r="B3" s="4" t="inlineStr">
        <is>
          <t>土</t>
        </is>
      </c>
      <c r="C3" s="4" t="inlineStr">
        <is>
          <t>8-9</t>
        </is>
      </c>
      <c r="D3" s="4" t="inlineStr">
        <is>
          <t>食パン（1斤）</t>
        </is>
      </c>
      <c r="E3" s="5" t="n">
        <v>3</v>
      </c>
      <c r="F3" s="6" t="n">
        <v>350</v>
      </c>
      <c r="G3" s="7">
        <f>E3*F3</f>
        <v/>
      </c>
    </row>
    <row r="4" ht="18" customHeight="1">
      <c r="A4" s="3" t="n">
        <v>45444</v>
      </c>
      <c r="B4" s="4" t="inlineStr">
        <is>
          <t>土</t>
        </is>
      </c>
      <c r="C4" s="4" t="inlineStr">
        <is>
          <t>8-9</t>
        </is>
      </c>
      <c r="D4" s="4" t="inlineStr">
        <is>
          <t>クロワッサン</t>
        </is>
      </c>
      <c r="E4" s="5" t="n">
        <v>5</v>
      </c>
      <c r="F4" s="6" t="n">
        <v>250</v>
      </c>
      <c r="G4" s="7">
        <f>E4*F4</f>
        <v/>
      </c>
    </row>
    <row r="5" ht="18" customHeight="1">
      <c r="A5" s="3" t="n">
        <v>45444</v>
      </c>
      <c r="B5" s="4" t="inlineStr">
        <is>
          <t>土</t>
        </is>
      </c>
      <c r="C5" s="4" t="inlineStr">
        <is>
          <t>9-10</t>
        </is>
      </c>
      <c r="D5" s="4" t="inlineStr">
        <is>
          <t>ベーグル（プレーン）</t>
        </is>
      </c>
      <c r="E5" s="5" t="n">
        <v>4</v>
      </c>
      <c r="F5" s="6" t="n">
        <v>200</v>
      </c>
      <c r="G5" s="7">
        <f>E5*F5</f>
        <v/>
      </c>
    </row>
    <row r="6" ht="18" customHeight="1">
      <c r="A6" s="3" t="n">
        <v>45444</v>
      </c>
      <c r="B6" s="4" t="inlineStr">
        <is>
          <t>土</t>
        </is>
      </c>
      <c r="C6" s="4" t="inlineStr">
        <is>
          <t>9-10</t>
        </is>
      </c>
      <c r="D6" s="4" t="inlineStr">
        <is>
          <t>カレーパン</t>
        </is>
      </c>
      <c r="E6" s="5" t="n">
        <v>6</v>
      </c>
      <c r="F6" s="6" t="n">
        <v>220</v>
      </c>
      <c r="G6" s="7">
        <f>E6*F6</f>
        <v/>
      </c>
    </row>
    <row r="7" ht="18" customHeight="1">
      <c r="A7" s="3" t="n">
        <v>45444</v>
      </c>
      <c r="B7" s="4" t="inlineStr">
        <is>
          <t>土</t>
        </is>
      </c>
      <c r="C7" s="4" t="inlineStr">
        <is>
          <t>10-11</t>
        </is>
      </c>
      <c r="D7" s="4" t="inlineStr">
        <is>
          <t>メロンパン</t>
        </is>
      </c>
      <c r="E7" s="5" t="n">
        <v>8</v>
      </c>
      <c r="F7" s="6" t="n">
        <v>200</v>
      </c>
      <c r="G7" s="7">
        <f>E7*F7</f>
        <v/>
      </c>
    </row>
    <row r="8" ht="18" customHeight="1">
      <c r="A8" s="3" t="n">
        <v>45444</v>
      </c>
      <c r="B8" s="4" t="inlineStr">
        <is>
          <t>土</t>
        </is>
      </c>
      <c r="C8" s="4" t="inlineStr">
        <is>
          <t>10-11</t>
        </is>
      </c>
      <c r="D8" s="4" t="inlineStr">
        <is>
          <t>食パン（1斤）</t>
        </is>
      </c>
      <c r="E8" s="5" t="n">
        <v>2</v>
      </c>
      <c r="F8" s="6" t="n">
        <v>350</v>
      </c>
      <c r="G8" s="7">
        <f>E8*F8</f>
        <v/>
      </c>
    </row>
    <row r="9" ht="18" customHeight="1">
      <c r="A9" s="3" t="n">
        <v>45444</v>
      </c>
      <c r="B9" s="4" t="inlineStr">
        <is>
          <t>土</t>
        </is>
      </c>
      <c r="C9" s="4" t="inlineStr">
        <is>
          <t>11-12</t>
        </is>
      </c>
      <c r="D9" s="4" t="inlineStr">
        <is>
          <t>カレーパン</t>
        </is>
      </c>
      <c r="E9" s="5" t="n">
        <v>3</v>
      </c>
      <c r="F9" s="6" t="n">
        <v>220</v>
      </c>
      <c r="G9" s="7">
        <f>E9*F9</f>
        <v/>
      </c>
    </row>
    <row r="10" ht="18" customHeight="1">
      <c r="A10" s="3" t="n">
        <v>45444</v>
      </c>
      <c r="B10" s="4" t="inlineStr">
        <is>
          <t>土</t>
        </is>
      </c>
      <c r="C10" s="4" t="inlineStr">
        <is>
          <t>11-12</t>
        </is>
      </c>
      <c r="D10" s="4" t="inlineStr">
        <is>
          <t>クロワッサン</t>
        </is>
      </c>
      <c r="E10" s="5" t="n">
        <v>2</v>
      </c>
      <c r="F10" s="6" t="n">
        <v>250</v>
      </c>
      <c r="G10" s="7">
        <f>E10*F10</f>
        <v/>
      </c>
    </row>
    <row r="11" ht="18" customHeight="1">
      <c r="A11" s="3" t="n">
        <v>45445</v>
      </c>
      <c r="B11" s="4" t="inlineStr">
        <is>
          <t>日</t>
        </is>
      </c>
      <c r="C11" s="4" t="inlineStr">
        <is>
          <t>8-9</t>
        </is>
      </c>
      <c r="D11" s="4" t="inlineStr">
        <is>
          <t>食パン（1斤）</t>
        </is>
      </c>
      <c r="E11" s="5" t="n">
        <v>4</v>
      </c>
      <c r="F11" s="6" t="n">
        <v>350</v>
      </c>
      <c r="G11" s="7">
        <f>E11*F11</f>
        <v/>
      </c>
    </row>
    <row r="12" ht="18" customHeight="1">
      <c r="A12" s="3" t="n">
        <v>45445</v>
      </c>
      <c r="B12" s="4" t="inlineStr">
        <is>
          <t>日</t>
        </is>
      </c>
      <c r="C12" s="4" t="inlineStr">
        <is>
          <t>9-10</t>
        </is>
      </c>
      <c r="D12" s="4" t="inlineStr">
        <is>
          <t>ベーグル（プレーン）</t>
        </is>
      </c>
      <c r="E12" s="5" t="n">
        <v>3</v>
      </c>
      <c r="F12" s="6" t="n">
        <v>200</v>
      </c>
      <c r="G12" s="7">
        <f>E12*F12</f>
        <v/>
      </c>
    </row>
    <row r="13" ht="18" customHeight="1">
      <c r="A13" s="3" t="n">
        <v>45445</v>
      </c>
      <c r="B13" s="4" t="inlineStr">
        <is>
          <t>日</t>
        </is>
      </c>
      <c r="C13" s="4" t="inlineStr">
        <is>
          <t>9-10</t>
        </is>
      </c>
      <c r="D13" s="4" t="inlineStr">
        <is>
          <t>メロンパン</t>
        </is>
      </c>
      <c r="E13" s="5" t="n">
        <v>5</v>
      </c>
      <c r="F13" s="6" t="n">
        <v>200</v>
      </c>
      <c r="G13" s="7">
        <f>E13*F13</f>
        <v/>
      </c>
    </row>
    <row r="14" ht="18" customHeight="1">
      <c r="A14" s="3" t="n">
        <v>45445</v>
      </c>
      <c r="B14" s="4" t="inlineStr">
        <is>
          <t>日</t>
        </is>
      </c>
      <c r="C14" s="4" t="inlineStr">
        <is>
          <t>10-11</t>
        </is>
      </c>
      <c r="D14" s="4" t="inlineStr">
        <is>
          <t>カレーパン</t>
        </is>
      </c>
      <c r="E14" s="5" t="n">
        <v>4</v>
      </c>
      <c r="F14" s="6" t="n">
        <v>220</v>
      </c>
      <c r="G14" s="7">
        <f>E14*F14</f>
        <v/>
      </c>
    </row>
    <row r="15" ht="18" customHeight="1">
      <c r="A15" s="3" t="n">
        <v>45446</v>
      </c>
      <c r="B15" s="4" t="inlineStr">
        <is>
          <t>月</t>
        </is>
      </c>
      <c r="C15" s="4" t="inlineStr">
        <is>
          <t>8-9</t>
        </is>
      </c>
      <c r="D15" s="4" t="inlineStr">
        <is>
          <t>食パン（1斤）</t>
        </is>
      </c>
      <c r="E15" s="5" t="n">
        <v>2</v>
      </c>
      <c r="F15" s="6" t="n">
        <v>350</v>
      </c>
      <c r="G15" s="7">
        <f>E15*F15</f>
        <v/>
      </c>
    </row>
    <row r="16" ht="18" customHeight="1">
      <c r="A16" s="3" t="n">
        <v>45446</v>
      </c>
      <c r="B16" s="4" t="inlineStr">
        <is>
          <t>月</t>
        </is>
      </c>
      <c r="C16" s="4" t="inlineStr">
        <is>
          <t>9-10</t>
        </is>
      </c>
      <c r="D16" s="4" t="inlineStr">
        <is>
          <t>クロワッサン</t>
        </is>
      </c>
      <c r="E16" s="5" t="n">
        <v>3</v>
      </c>
      <c r="F16" s="6" t="n">
        <v>250</v>
      </c>
      <c r="G16" s="7">
        <f>E16*F16</f>
        <v/>
      </c>
    </row>
    <row r="17" ht="18" customHeight="1">
      <c r="A17" s="3" t="n">
        <v>45446</v>
      </c>
      <c r="B17" s="4" t="inlineStr">
        <is>
          <t>月</t>
        </is>
      </c>
      <c r="C17" s="4" t="inlineStr">
        <is>
          <t>10-11</t>
        </is>
      </c>
      <c r="D17" s="4" t="inlineStr">
        <is>
          <t>カレーパン</t>
        </is>
      </c>
      <c r="E17" s="5" t="n">
        <v>2</v>
      </c>
      <c r="F17" s="6" t="n">
        <v>220</v>
      </c>
      <c r="G17" s="7">
        <f>E17*F17</f>
        <v/>
      </c>
    </row>
    <row r="18" ht="18" customHeight="1">
      <c r="A18" s="8" t="n"/>
      <c r="B18" s="9" t="n"/>
      <c r="C18" s="9" t="n"/>
      <c r="D18" s="9" t="n"/>
      <c r="E18" s="10" t="n"/>
      <c r="F18" s="11" t="n"/>
      <c r="G18" s="12">
        <f>IF(E18="","",E18*F18)</f>
        <v/>
      </c>
    </row>
    <row r="19" ht="18" customHeight="1">
      <c r="A19" s="8" t="n"/>
      <c r="B19" s="9" t="n"/>
      <c r="C19" s="9" t="n"/>
      <c r="D19" s="9" t="n"/>
      <c r="E19" s="10" t="n"/>
      <c r="F19" s="11" t="n"/>
      <c r="G19" s="12">
        <f>IF(E19="","",E19*F19)</f>
        <v/>
      </c>
    </row>
    <row r="20" ht="18" customHeight="1">
      <c r="A20" s="8" t="n"/>
      <c r="B20" s="9" t="n"/>
      <c r="C20" s="9" t="n"/>
      <c r="D20" s="9" t="n"/>
      <c r="E20" s="10" t="n"/>
      <c r="F20" s="11" t="n"/>
      <c r="G20" s="12">
        <f>IF(E20="","",E20*F20)</f>
        <v/>
      </c>
    </row>
    <row r="21" ht="18" customHeight="1">
      <c r="A21" s="8" t="n"/>
      <c r="B21" s="9" t="n"/>
      <c r="C21" s="9" t="n"/>
      <c r="D21" s="9" t="n"/>
      <c r="E21" s="10" t="n"/>
      <c r="F21" s="11" t="n"/>
      <c r="G21" s="12">
        <f>IF(E21="","",E21*F21)</f>
        <v/>
      </c>
    </row>
    <row r="22" ht="18" customHeight="1">
      <c r="A22" s="8" t="n"/>
      <c r="B22" s="9" t="n"/>
      <c r="C22" s="9" t="n"/>
      <c r="D22" s="9" t="n"/>
      <c r="E22" s="10" t="n"/>
      <c r="F22" s="11" t="n"/>
      <c r="G22" s="12">
        <f>IF(E22="","",E22*F22)</f>
        <v/>
      </c>
    </row>
    <row r="23" ht="18" customHeight="1">
      <c r="A23" s="8" t="n"/>
      <c r="B23" s="9" t="n"/>
      <c r="C23" s="9" t="n"/>
      <c r="D23" s="9" t="n"/>
      <c r="E23" s="10" t="n"/>
      <c r="F23" s="11" t="n"/>
      <c r="G23" s="12">
        <f>IF(E23="","",E23*F23)</f>
        <v/>
      </c>
    </row>
    <row r="24" ht="18" customHeight="1">
      <c r="A24" s="8" t="n"/>
      <c r="B24" s="9" t="n"/>
      <c r="C24" s="9" t="n"/>
      <c r="D24" s="9" t="n"/>
      <c r="E24" s="10" t="n"/>
      <c r="F24" s="11" t="n"/>
      <c r="G24" s="12">
        <f>IF(E24="","",E24*F24)</f>
        <v/>
      </c>
    </row>
    <row r="25" ht="18" customHeight="1">
      <c r="A25" s="8" t="n"/>
      <c r="B25" s="9" t="n"/>
      <c r="C25" s="9" t="n"/>
      <c r="D25" s="9" t="n"/>
      <c r="E25" s="10" t="n"/>
      <c r="F25" s="11" t="n"/>
      <c r="G25" s="12">
        <f>IF(E25="","",E25*F25)</f>
        <v/>
      </c>
    </row>
    <row r="26" ht="18" customHeight="1">
      <c r="A26" s="8" t="n"/>
      <c r="B26" s="9" t="n"/>
      <c r="C26" s="9" t="n"/>
      <c r="D26" s="9" t="n"/>
      <c r="E26" s="10" t="n"/>
      <c r="F26" s="11" t="n"/>
      <c r="G26" s="12">
        <f>IF(E26="","",E26*F26)</f>
        <v/>
      </c>
    </row>
    <row r="27" ht="18" customHeight="1">
      <c r="A27" s="8" t="n"/>
      <c r="B27" s="9" t="n"/>
      <c r="C27" s="9" t="n"/>
      <c r="D27" s="9" t="n"/>
      <c r="E27" s="10" t="n"/>
      <c r="F27" s="11" t="n"/>
      <c r="G27" s="12">
        <f>IF(E27="","",E27*F27)</f>
        <v/>
      </c>
    </row>
    <row r="28" ht="18" customHeight="1">
      <c r="A28" s="8" t="n"/>
      <c r="B28" s="9" t="n"/>
      <c r="C28" s="9" t="n"/>
      <c r="D28" s="9" t="n"/>
      <c r="E28" s="10" t="n"/>
      <c r="F28" s="11" t="n"/>
      <c r="G28" s="12">
        <f>IF(E28="","",E28*F28)</f>
        <v/>
      </c>
    </row>
    <row r="29" ht="18" customHeight="1">
      <c r="A29" s="8" t="n"/>
      <c r="B29" s="9" t="n"/>
      <c r="C29" s="9" t="n"/>
      <c r="D29" s="9" t="n"/>
      <c r="E29" s="10" t="n"/>
      <c r="F29" s="11" t="n"/>
      <c r="G29" s="12">
        <f>IF(E29="","",E29*F29)</f>
        <v/>
      </c>
    </row>
    <row r="30" ht="18" customHeight="1">
      <c r="A30" s="8" t="n"/>
      <c r="B30" s="9" t="n"/>
      <c r="C30" s="9" t="n"/>
      <c r="D30" s="9" t="n"/>
      <c r="E30" s="10" t="n"/>
      <c r="F30" s="11" t="n"/>
      <c r="G30" s="12">
        <f>IF(E30="","",E30*F30)</f>
        <v/>
      </c>
    </row>
    <row r="31" ht="18" customHeight="1">
      <c r="A31" s="8" t="n"/>
      <c r="B31" s="9" t="n"/>
      <c r="C31" s="9" t="n"/>
      <c r="D31" s="9" t="n"/>
      <c r="E31" s="10" t="n"/>
      <c r="F31" s="11" t="n"/>
      <c r="G31" s="12">
        <f>IF(E31="","",E31*F31)</f>
        <v/>
      </c>
    </row>
    <row r="32" ht="18" customHeight="1">
      <c r="A32" s="8" t="n"/>
      <c r="B32" s="9" t="n"/>
      <c r="C32" s="9" t="n"/>
      <c r="D32" s="9" t="n"/>
      <c r="E32" s="10" t="n"/>
      <c r="F32" s="11" t="n"/>
      <c r="G32" s="12">
        <f>IF(E32="","",E32*F32)</f>
        <v/>
      </c>
    </row>
    <row r="33" ht="18" customHeight="1">
      <c r="A33" s="8" t="n"/>
      <c r="B33" s="9" t="n"/>
      <c r="C33" s="9" t="n"/>
      <c r="D33" s="9" t="n"/>
      <c r="E33" s="10" t="n"/>
      <c r="F33" s="11" t="n"/>
      <c r="G33" s="12">
        <f>IF(E33="","",E33*F33)</f>
        <v/>
      </c>
    </row>
    <row r="34" ht="18" customHeight="1">
      <c r="A34" s="8" t="n"/>
      <c r="B34" s="9" t="n"/>
      <c r="C34" s="9" t="n"/>
      <c r="D34" s="9" t="n"/>
      <c r="E34" s="10" t="n"/>
      <c r="F34" s="11" t="n"/>
      <c r="G34" s="12">
        <f>IF(E34="","",E34*F34)</f>
        <v/>
      </c>
    </row>
    <row r="35" ht="18" customHeight="1">
      <c r="A35" s="8" t="n"/>
      <c r="B35" s="9" t="n"/>
      <c r="C35" s="9" t="n"/>
      <c r="D35" s="9" t="n"/>
      <c r="E35" s="10" t="n"/>
      <c r="F35" s="11" t="n"/>
      <c r="G35" s="12">
        <f>IF(E35="","",E35*F35)</f>
        <v/>
      </c>
    </row>
    <row r="36" ht="18" customHeight="1">
      <c r="A36" s="8" t="n"/>
      <c r="B36" s="9" t="n"/>
      <c r="C36" s="9" t="n"/>
      <c r="D36" s="9" t="n"/>
      <c r="E36" s="10" t="n"/>
      <c r="F36" s="11" t="n"/>
      <c r="G36" s="12">
        <f>IF(E36="","",E36*F36)</f>
        <v/>
      </c>
    </row>
    <row r="37" ht="18" customHeight="1">
      <c r="A37" s="8" t="n"/>
      <c r="B37" s="9" t="n"/>
      <c r="C37" s="9" t="n"/>
      <c r="D37" s="9" t="n"/>
      <c r="E37" s="10" t="n"/>
      <c r="F37" s="11" t="n"/>
      <c r="G37" s="12">
        <f>IF(E37="","",E37*F37)</f>
        <v/>
      </c>
    </row>
    <row r="38" ht="18" customHeight="1">
      <c r="A38" s="8" t="n"/>
      <c r="B38" s="9" t="n"/>
      <c r="C38" s="9" t="n"/>
      <c r="D38" s="9" t="n"/>
      <c r="E38" s="10" t="n"/>
      <c r="F38" s="11" t="n"/>
      <c r="G38" s="12">
        <f>IF(E38="","",E38*F38)</f>
        <v/>
      </c>
    </row>
    <row r="39" ht="18" customHeight="1">
      <c r="A39" s="8" t="n"/>
      <c r="B39" s="9" t="n"/>
      <c r="C39" s="9" t="n"/>
      <c r="D39" s="9" t="n"/>
      <c r="E39" s="10" t="n"/>
      <c r="F39" s="11" t="n"/>
      <c r="G39" s="12">
        <f>IF(E39="","",E39*F39)</f>
        <v/>
      </c>
    </row>
    <row r="40" ht="18" customHeight="1">
      <c r="A40" s="8" t="n"/>
      <c r="B40" s="9" t="n"/>
      <c r="C40" s="9" t="n"/>
      <c r="D40" s="9" t="n"/>
      <c r="E40" s="10" t="n"/>
      <c r="F40" s="11" t="n"/>
      <c r="G40" s="12">
        <f>IF(E40="","",E40*F40)</f>
        <v/>
      </c>
    </row>
    <row r="41" ht="18" customHeight="1">
      <c r="A41" s="8" t="n"/>
      <c r="B41" s="9" t="n"/>
      <c r="C41" s="9" t="n"/>
      <c r="D41" s="9" t="n"/>
      <c r="E41" s="10" t="n"/>
      <c r="F41" s="11" t="n"/>
      <c r="G41" s="12">
        <f>IF(E41="","",E41*F41)</f>
        <v/>
      </c>
    </row>
    <row r="42" ht="18" customHeight="1">
      <c r="A42" s="8" t="n"/>
      <c r="B42" s="9" t="n"/>
      <c r="C42" s="9" t="n"/>
      <c r="D42" s="9" t="n"/>
      <c r="E42" s="10" t="n"/>
      <c r="F42" s="11" t="n"/>
      <c r="G42" s="12">
        <f>IF(E42="","",E42*F42)</f>
        <v/>
      </c>
    </row>
    <row r="43" ht="18" customHeight="1">
      <c r="A43" s="8" t="n"/>
      <c r="B43" s="9" t="n"/>
      <c r="C43" s="9" t="n"/>
      <c r="D43" s="9" t="n"/>
      <c r="E43" s="10" t="n"/>
      <c r="F43" s="11" t="n"/>
      <c r="G43" s="12">
        <f>IF(E43="","",E43*F43)</f>
        <v/>
      </c>
    </row>
    <row r="44" ht="18" customHeight="1">
      <c r="A44" s="8" t="n"/>
      <c r="B44" s="9" t="n"/>
      <c r="C44" s="9" t="n"/>
      <c r="D44" s="9" t="n"/>
      <c r="E44" s="10" t="n"/>
      <c r="F44" s="11" t="n"/>
      <c r="G44" s="12">
        <f>IF(E44="","",E44*F44)</f>
        <v/>
      </c>
    </row>
    <row r="45" ht="18" customHeight="1">
      <c r="A45" s="8" t="n"/>
      <c r="B45" s="9" t="n"/>
      <c r="C45" s="9" t="n"/>
      <c r="D45" s="9" t="n"/>
      <c r="E45" s="10" t="n"/>
      <c r="F45" s="11" t="n"/>
      <c r="G45" s="12">
        <f>IF(E45="","",E45*F45)</f>
        <v/>
      </c>
    </row>
    <row r="46" ht="18" customHeight="1">
      <c r="A46" s="8" t="n"/>
      <c r="B46" s="9" t="n"/>
      <c r="C46" s="9" t="n"/>
      <c r="D46" s="9" t="n"/>
      <c r="E46" s="10" t="n"/>
      <c r="F46" s="11" t="n"/>
      <c r="G46" s="12">
        <f>IF(E46="","",E46*F46)</f>
        <v/>
      </c>
    </row>
    <row r="47" ht="18" customHeight="1">
      <c r="A47" s="8" t="n"/>
      <c r="B47" s="9" t="n"/>
      <c r="C47" s="9" t="n"/>
      <c r="D47" s="9" t="n"/>
      <c r="E47" s="10" t="n"/>
      <c r="F47" s="11" t="n"/>
      <c r="G47" s="12">
        <f>IF(E47="","",E47*F47)</f>
        <v/>
      </c>
    </row>
    <row r="48" ht="18" customHeight="1">
      <c r="A48" s="8" t="n"/>
      <c r="B48" s="9" t="n"/>
      <c r="C48" s="9" t="n"/>
      <c r="D48" s="9" t="n"/>
      <c r="E48" s="10" t="n"/>
      <c r="F48" s="11" t="n"/>
      <c r="G48" s="12">
        <f>IF(E48="","",E48*F48)</f>
        <v/>
      </c>
    </row>
    <row r="49" ht="18" customHeight="1">
      <c r="A49" s="8" t="n"/>
      <c r="B49" s="9" t="n"/>
      <c r="C49" s="9" t="n"/>
      <c r="D49" s="9" t="n"/>
      <c r="E49" s="10" t="n"/>
      <c r="F49" s="11" t="n"/>
      <c r="G49" s="12">
        <f>IF(E49="","",E49*F49)</f>
        <v/>
      </c>
    </row>
    <row r="50" ht="18" customHeight="1">
      <c r="A50" s="8" t="n"/>
      <c r="B50" s="9" t="n"/>
      <c r="C50" s="9" t="n"/>
      <c r="D50" s="9" t="n"/>
      <c r="E50" s="10" t="n"/>
      <c r="F50" s="11" t="n"/>
      <c r="G50" s="12">
        <f>IF(E50="","",E50*F50)</f>
        <v/>
      </c>
    </row>
    <row r="51" ht="18" customHeight="1">
      <c r="A51" s="8" t="n"/>
      <c r="B51" s="9" t="n"/>
      <c r="C51" s="9" t="n"/>
      <c r="D51" s="9" t="n"/>
      <c r="E51" s="10" t="n"/>
      <c r="F51" s="11" t="n"/>
      <c r="G51" s="12">
        <f>IF(E51="","",E51*F51)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0" customWidth="1" min="9" max="9"/>
  </cols>
  <sheetData>
    <row r="1" ht="22" customHeight="1">
      <c r="A1" s="1" t="inlineStr">
        <is>
          <t>02  商品マスタ　―　商品情報・粗利を一元管理</t>
        </is>
      </c>
    </row>
    <row r="2">
      <c r="A2" s="13" t="inlineStr">
        <is>
          <t>商品ID</t>
        </is>
      </c>
      <c r="B2" s="13" t="inlineStr">
        <is>
          <t>商品名</t>
        </is>
      </c>
      <c r="C2" s="13" t="inlineStr">
        <is>
          <t>カテゴリ</t>
        </is>
      </c>
      <c r="D2" s="13" t="inlineStr">
        <is>
          <t>販売価格 (円)</t>
        </is>
      </c>
      <c r="E2" s="13" t="inlineStr">
        <is>
          <t>原価 (円)</t>
        </is>
      </c>
      <c r="F2" s="13" t="inlineStr">
        <is>
          <t>粗利 (円)</t>
        </is>
      </c>
      <c r="G2" s="13" t="inlineStr">
        <is>
          <t>製造時間 (分)</t>
        </is>
      </c>
      <c r="H2" s="13" t="inlineStr">
        <is>
          <t>推奨製造数</t>
        </is>
      </c>
      <c r="I2" s="13" t="inlineStr">
        <is>
          <t>粗利率</t>
        </is>
      </c>
    </row>
    <row r="3" ht="18" customHeight="1">
      <c r="A3" s="4" t="inlineStr">
        <is>
          <t>P001</t>
        </is>
      </c>
      <c r="B3" s="4" t="inlineStr">
        <is>
          <t>食パン（1斤）</t>
        </is>
      </c>
      <c r="C3" s="4" t="inlineStr">
        <is>
          <t>食パン</t>
        </is>
      </c>
      <c r="D3" s="6" t="n">
        <v>350</v>
      </c>
      <c r="E3" s="6" t="n">
        <v>120</v>
      </c>
      <c r="F3" s="7">
        <f>D3-E3</f>
        <v/>
      </c>
      <c r="G3" s="5" t="n">
        <v>15</v>
      </c>
      <c r="H3" s="5" t="n">
        <v>8</v>
      </c>
      <c r="I3" s="14">
        <f>IFERROR(F3/D3,0)</f>
        <v/>
      </c>
    </row>
    <row r="4" ht="18" customHeight="1">
      <c r="A4" s="4" t="inlineStr">
        <is>
          <t>P002</t>
        </is>
      </c>
      <c r="B4" s="4" t="inlineStr">
        <is>
          <t>ベーグル（プレーン）</t>
        </is>
      </c>
      <c r="C4" s="4" t="inlineStr">
        <is>
          <t>ベーグル</t>
        </is>
      </c>
      <c r="D4" s="6" t="n">
        <v>200</v>
      </c>
      <c r="E4" s="6" t="n">
        <v>70</v>
      </c>
      <c r="F4" s="7">
        <f>D4-E4</f>
        <v/>
      </c>
      <c r="G4" s="5" t="n">
        <v>20</v>
      </c>
      <c r="H4" s="5" t="n">
        <v>10</v>
      </c>
      <c r="I4" s="14">
        <f>IFERROR(F4/D4,0)</f>
        <v/>
      </c>
    </row>
    <row r="5" ht="18" customHeight="1">
      <c r="A5" s="4" t="inlineStr">
        <is>
          <t>P003</t>
        </is>
      </c>
      <c r="B5" s="4" t="inlineStr">
        <is>
          <t>クロワッサン</t>
        </is>
      </c>
      <c r="C5" s="4" t="inlineStr">
        <is>
          <t>クロワッサン</t>
        </is>
      </c>
      <c r="D5" s="6" t="n">
        <v>250</v>
      </c>
      <c r="E5" s="6" t="n">
        <v>110</v>
      </c>
      <c r="F5" s="7">
        <f>D5-E5</f>
        <v/>
      </c>
      <c r="G5" s="5" t="n">
        <v>35</v>
      </c>
      <c r="H5" s="5" t="n">
        <v>6</v>
      </c>
      <c r="I5" s="14">
        <f>IFERROR(F5/D5,0)</f>
        <v/>
      </c>
    </row>
    <row r="6" ht="18" customHeight="1">
      <c r="A6" s="4" t="inlineStr">
        <is>
          <t>P004</t>
        </is>
      </c>
      <c r="B6" s="4" t="inlineStr">
        <is>
          <t>カレーパン</t>
        </is>
      </c>
      <c r="C6" s="4" t="inlineStr">
        <is>
          <t>惣菜パン</t>
        </is>
      </c>
      <c r="D6" s="6" t="n">
        <v>220</v>
      </c>
      <c r="E6" s="6" t="n">
        <v>85</v>
      </c>
      <c r="F6" s="7">
        <f>D6-E6</f>
        <v/>
      </c>
      <c r="G6" s="5" t="n">
        <v>25</v>
      </c>
      <c r="H6" s="5" t="n">
        <v>8</v>
      </c>
      <c r="I6" s="14">
        <f>IFERROR(F6/D6,0)</f>
        <v/>
      </c>
    </row>
    <row r="7" ht="18" customHeight="1">
      <c r="A7" s="4" t="inlineStr">
        <is>
          <t>P005</t>
        </is>
      </c>
      <c r="B7" s="4" t="inlineStr">
        <is>
          <t>メロンパン</t>
        </is>
      </c>
      <c r="C7" s="4" t="inlineStr">
        <is>
          <t>菓子パン</t>
        </is>
      </c>
      <c r="D7" s="6" t="n">
        <v>200</v>
      </c>
      <c r="E7" s="6" t="n">
        <v>65</v>
      </c>
      <c r="F7" s="7">
        <f>D7-E7</f>
        <v/>
      </c>
      <c r="G7" s="5" t="n">
        <v>20</v>
      </c>
      <c r="H7" s="5" t="n">
        <v>10</v>
      </c>
      <c r="I7" s="14">
        <f>IFERROR(F7/D7,0)</f>
        <v/>
      </c>
    </row>
    <row r="8" ht="18" customHeight="1">
      <c r="A8" s="4" t="inlineStr">
        <is>
          <t>P006</t>
        </is>
      </c>
      <c r="B8" s="4" t="inlineStr">
        <is>
          <t>チョコデニッシュ</t>
        </is>
      </c>
      <c r="C8" s="4" t="inlineStr">
        <is>
          <t>菓子パン</t>
        </is>
      </c>
      <c r="D8" s="6" t="n">
        <v>230</v>
      </c>
      <c r="E8" s="6" t="n">
        <v>90</v>
      </c>
      <c r="F8" s="7">
        <f>D8-E8</f>
        <v/>
      </c>
      <c r="G8" s="5" t="n">
        <v>30</v>
      </c>
      <c r="H8" s="5" t="n">
        <v>6</v>
      </c>
      <c r="I8" s="14">
        <f>IFERROR(F8/D8,0)</f>
        <v/>
      </c>
    </row>
    <row r="9" ht="18" customHeight="1">
      <c r="A9" s="4" t="inlineStr">
        <is>
          <t>P007</t>
        </is>
      </c>
      <c r="B9" s="4" t="inlineStr">
        <is>
          <t>バゲット</t>
        </is>
      </c>
      <c r="C9" s="4" t="inlineStr">
        <is>
          <t>食パン</t>
        </is>
      </c>
      <c r="D9" s="6" t="n">
        <v>400</v>
      </c>
      <c r="E9" s="6" t="n">
        <v>130</v>
      </c>
      <c r="F9" s="7">
        <f>D9-E9</f>
        <v/>
      </c>
      <c r="G9" s="5" t="n">
        <v>25</v>
      </c>
      <c r="H9" s="5" t="n">
        <v>5</v>
      </c>
      <c r="I9" s="14">
        <f>IFERROR(F9/D9,0)</f>
        <v/>
      </c>
    </row>
    <row r="10" ht="18" customHeight="1">
      <c r="A10" s="4" t="inlineStr">
        <is>
          <t>P008</t>
        </is>
      </c>
      <c r="B10" s="4" t="inlineStr">
        <is>
          <t>シナモンロール</t>
        </is>
      </c>
      <c r="C10" s="4" t="inlineStr">
        <is>
          <t>焼き菓子</t>
        </is>
      </c>
      <c r="D10" s="6" t="n">
        <v>280</v>
      </c>
      <c r="E10" s="6" t="n">
        <v>100</v>
      </c>
      <c r="F10" s="7">
        <f>D10-E10</f>
        <v/>
      </c>
      <c r="G10" s="5" t="n">
        <v>30</v>
      </c>
      <c r="H10" s="5" t="n">
        <v>8</v>
      </c>
      <c r="I10" s="14">
        <f>IFERROR(F10/D10,0)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2" customHeight="1">
      <c r="A1" s="1" t="inlineStr">
        <is>
          <t>03  原価管理　―　材料ごとの原価内訳を管理</t>
        </is>
      </c>
    </row>
    <row r="2">
      <c r="A2" s="15" t="inlineStr">
        <is>
          <t>商品名</t>
        </is>
      </c>
      <c r="B2" s="15" t="inlineStr">
        <is>
          <t>小麦 (円)</t>
        </is>
      </c>
      <c r="C2" s="15" t="inlineStr">
        <is>
          <t>バター (円)</t>
        </is>
      </c>
      <c r="D2" s="15" t="inlineStr">
        <is>
          <t>包材 (円)</t>
        </is>
      </c>
      <c r="E2" s="15" t="inlineStr">
        <is>
          <t>その他 (円)</t>
        </is>
      </c>
      <c r="F2" s="15" t="inlineStr">
        <is>
          <t>合計原価 (円)</t>
        </is>
      </c>
    </row>
    <row r="3" ht="18" customHeight="1">
      <c r="A3" s="4" t="inlineStr">
        <is>
          <t>食パン（1斤）</t>
        </is>
      </c>
      <c r="B3" s="6" t="n">
        <v>45</v>
      </c>
      <c r="C3" s="6" t="n">
        <v>20</v>
      </c>
      <c r="D3" s="6" t="n">
        <v>12</v>
      </c>
      <c r="E3" s="6" t="n">
        <v>10</v>
      </c>
      <c r="F3" s="7">
        <f>SUM(B3:E3)</f>
        <v/>
      </c>
    </row>
    <row r="4" ht="18" customHeight="1">
      <c r="A4" s="4" t="inlineStr">
        <is>
          <t>ベーグル（プレーン）</t>
        </is>
      </c>
      <c r="B4" s="6" t="n">
        <v>25</v>
      </c>
      <c r="C4" s="6" t="n">
        <v>10</v>
      </c>
      <c r="D4" s="6" t="n">
        <v>10</v>
      </c>
      <c r="E4" s="6" t="n">
        <v>8</v>
      </c>
      <c r="F4" s="7">
        <f>SUM(B4:E4)</f>
        <v/>
      </c>
    </row>
    <row r="5" ht="18" customHeight="1">
      <c r="A5" s="4" t="inlineStr">
        <is>
          <t>クロワッサン</t>
        </is>
      </c>
      <c r="B5" s="6" t="n">
        <v>30</v>
      </c>
      <c r="C5" s="6" t="n">
        <v>45</v>
      </c>
      <c r="D5" s="6" t="n">
        <v>15</v>
      </c>
      <c r="E5" s="6" t="n">
        <v>12</v>
      </c>
      <c r="F5" s="7">
        <f>SUM(B5:E5)</f>
        <v/>
      </c>
    </row>
    <row r="6" ht="18" customHeight="1">
      <c r="A6" s="4" t="inlineStr">
        <is>
          <t>カレーパン</t>
        </is>
      </c>
      <c r="B6" s="6" t="n">
        <v>28</v>
      </c>
      <c r="C6" s="6" t="n">
        <v>15</v>
      </c>
      <c r="D6" s="6" t="n">
        <v>15</v>
      </c>
      <c r="E6" s="6" t="n">
        <v>15</v>
      </c>
      <c r="F6" s="7">
        <f>SUM(B6:E6)</f>
        <v/>
      </c>
    </row>
    <row r="7" ht="18" customHeight="1">
      <c r="A7" s="4" t="inlineStr">
        <is>
          <t>メロンパン</t>
        </is>
      </c>
      <c r="B7" s="6" t="n">
        <v>25</v>
      </c>
      <c r="C7" s="6" t="n">
        <v>12</v>
      </c>
      <c r="D7" s="6" t="n">
        <v>12</v>
      </c>
      <c r="E7" s="6" t="n">
        <v>8</v>
      </c>
      <c r="F7" s="7">
        <f>SUM(B7:E7)</f>
        <v/>
      </c>
    </row>
    <row r="8" ht="18" customHeight="1">
      <c r="A8" s="4" t="inlineStr">
        <is>
          <t>チョコデニッシュ</t>
        </is>
      </c>
      <c r="B8" s="6" t="n">
        <v>28</v>
      </c>
      <c r="C8" s="6" t="n">
        <v>25</v>
      </c>
      <c r="D8" s="6" t="n">
        <v>15</v>
      </c>
      <c r="E8" s="6" t="n">
        <v>14</v>
      </c>
      <c r="F8" s="7">
        <f>SUM(B8:E8)</f>
        <v/>
      </c>
    </row>
    <row r="9" ht="18" customHeight="1">
      <c r="A9" s="4" t="inlineStr">
        <is>
          <t>バゲット</t>
        </is>
      </c>
      <c r="B9" s="6" t="n">
        <v>50</v>
      </c>
      <c r="C9" s="6" t="n">
        <v>15</v>
      </c>
      <c r="D9" s="6" t="n">
        <v>15</v>
      </c>
      <c r="E9" s="6" t="n">
        <v>12</v>
      </c>
      <c r="F9" s="7">
        <f>SUM(B9:E9)</f>
        <v/>
      </c>
    </row>
    <row r="10" ht="18" customHeight="1">
      <c r="A10" s="4" t="inlineStr">
        <is>
          <t>シナモンロール</t>
        </is>
      </c>
      <c r="B10" s="6" t="n">
        <v>30</v>
      </c>
      <c r="C10" s="6" t="n">
        <v>30</v>
      </c>
      <c r="D10" s="6" t="n">
        <v>15</v>
      </c>
      <c r="E10" s="6" t="n">
        <v>12</v>
      </c>
      <c r="F10" s="7">
        <f>SUM(B10:E10)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E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4" customWidth="1" min="4" max="4"/>
    <col width="14" customWidth="1" min="5" max="5"/>
  </cols>
  <sheetData>
    <row r="1" ht="22" customHeight="1">
      <c r="A1" s="1" t="inlineStr">
        <is>
          <t>04  廃棄入力　―　廃棄した商品を記録</t>
        </is>
      </c>
    </row>
    <row r="2">
      <c r="A2" s="16" t="inlineStr">
        <is>
          <t>日付</t>
        </is>
      </c>
      <c r="B2" s="16" t="inlineStr">
        <is>
          <t>商品名</t>
        </is>
      </c>
      <c r="C2" s="16" t="inlineStr">
        <is>
          <t>廃棄数</t>
        </is>
      </c>
      <c r="D2" s="16" t="inlineStr">
        <is>
          <t>販売価格 (円)</t>
        </is>
      </c>
      <c r="E2" s="16" t="inlineStr">
        <is>
          <t>廃棄金額 (円)</t>
        </is>
      </c>
    </row>
    <row r="3" ht="18" customHeight="1">
      <c r="A3" s="3" t="n">
        <v>45444</v>
      </c>
      <c r="B3" s="4" t="inlineStr">
        <is>
          <t>クロワッサン</t>
        </is>
      </c>
      <c r="C3" s="5" t="n">
        <v>2</v>
      </c>
      <c r="D3" s="6" t="n">
        <v>250</v>
      </c>
      <c r="E3" s="7">
        <f>C3*D3</f>
        <v/>
      </c>
    </row>
    <row r="4" ht="18" customHeight="1">
      <c r="A4" s="3" t="n">
        <v>45444</v>
      </c>
      <c r="B4" s="4" t="inlineStr">
        <is>
          <t>メロンパン</t>
        </is>
      </c>
      <c r="C4" s="5" t="n">
        <v>3</v>
      </c>
      <c r="D4" s="6" t="n">
        <v>200</v>
      </c>
      <c r="E4" s="7">
        <f>C4*D4</f>
        <v/>
      </c>
    </row>
    <row r="5" ht="18" customHeight="1">
      <c r="A5" s="3" t="n">
        <v>45445</v>
      </c>
      <c r="B5" s="4" t="inlineStr">
        <is>
          <t>シナモンロール</t>
        </is>
      </c>
      <c r="C5" s="5" t="n">
        <v>4</v>
      </c>
      <c r="D5" s="6" t="n">
        <v>280</v>
      </c>
      <c r="E5" s="7">
        <f>C5*D5</f>
        <v/>
      </c>
    </row>
    <row r="6" ht="18" customHeight="1">
      <c r="A6" s="3" t="n">
        <v>45445</v>
      </c>
      <c r="B6" s="4" t="inlineStr">
        <is>
          <t>チョコデニッシュ</t>
        </is>
      </c>
      <c r="C6" s="5" t="n">
        <v>2</v>
      </c>
      <c r="D6" s="6" t="n">
        <v>230</v>
      </c>
      <c r="E6" s="7">
        <f>C6*D6</f>
        <v/>
      </c>
    </row>
    <row r="7" ht="18" customHeight="1">
      <c r="A7" s="3" t="n">
        <v>45446</v>
      </c>
      <c r="B7" s="4" t="inlineStr">
        <is>
          <t>クロワッサン</t>
        </is>
      </c>
      <c r="C7" s="5" t="n">
        <v>1</v>
      </c>
      <c r="D7" s="6" t="n">
        <v>250</v>
      </c>
      <c r="E7" s="7">
        <f>C7*D7</f>
        <v/>
      </c>
    </row>
    <row r="8" ht="18" customHeight="1">
      <c r="A8" s="17" t="n"/>
      <c r="B8" s="17" t="n"/>
      <c r="C8" s="17" t="n"/>
      <c r="D8" s="17" t="n"/>
      <c r="E8" s="18">
        <f>IF(C8="","",C8*D8)</f>
        <v/>
      </c>
    </row>
    <row r="9" ht="18" customHeight="1">
      <c r="A9" s="17" t="n"/>
      <c r="B9" s="17" t="n"/>
      <c r="C9" s="17" t="n"/>
      <c r="D9" s="17" t="n"/>
      <c r="E9" s="18">
        <f>IF(C9="","",C9*D9)</f>
        <v/>
      </c>
    </row>
    <row r="10" ht="18" customHeight="1">
      <c r="A10" s="17" t="n"/>
      <c r="B10" s="17" t="n"/>
      <c r="C10" s="17" t="n"/>
      <c r="D10" s="17" t="n"/>
      <c r="E10" s="18">
        <f>IF(C10="","",C10*D10)</f>
        <v/>
      </c>
    </row>
    <row r="11" ht="18" customHeight="1">
      <c r="A11" s="17" t="n"/>
      <c r="B11" s="17" t="n"/>
      <c r="C11" s="17" t="n"/>
      <c r="D11" s="17" t="n"/>
      <c r="E11" s="18">
        <f>IF(C11="","",C11*D11)</f>
        <v/>
      </c>
    </row>
    <row r="12" ht="18" customHeight="1">
      <c r="A12" s="17" t="n"/>
      <c r="B12" s="17" t="n"/>
      <c r="C12" s="17" t="n"/>
      <c r="D12" s="17" t="n"/>
      <c r="E12" s="18">
        <f>IF(C12="","",C12*D12)</f>
        <v/>
      </c>
    </row>
    <row r="13" ht="18" customHeight="1">
      <c r="A13" s="17" t="n"/>
      <c r="B13" s="17" t="n"/>
      <c r="C13" s="17" t="n"/>
      <c r="D13" s="17" t="n"/>
      <c r="E13" s="18">
        <f>IF(C13="","",C13*D13)</f>
        <v/>
      </c>
    </row>
    <row r="14" ht="18" customHeight="1">
      <c r="A14" s="17" t="n"/>
      <c r="B14" s="17" t="n"/>
      <c r="C14" s="17" t="n"/>
      <c r="D14" s="17" t="n"/>
      <c r="E14" s="18">
        <f>IF(C14="","",C14*D14)</f>
        <v/>
      </c>
    </row>
    <row r="15" ht="18" customHeight="1">
      <c r="A15" s="17" t="n"/>
      <c r="B15" s="17" t="n"/>
      <c r="C15" s="17" t="n"/>
      <c r="D15" s="17" t="n"/>
      <c r="E15" s="18">
        <f>IF(C15="","",C15*D15)</f>
        <v/>
      </c>
    </row>
    <row r="16" ht="18" customHeight="1">
      <c r="A16" s="17" t="n"/>
      <c r="B16" s="17" t="n"/>
      <c r="C16" s="17" t="n"/>
      <c r="D16" s="17" t="n"/>
      <c r="E16" s="18">
        <f>IF(C16="","",C16*D16)</f>
        <v/>
      </c>
    </row>
    <row r="17" ht="18" customHeight="1">
      <c r="A17" s="17" t="n"/>
      <c r="B17" s="17" t="n"/>
      <c r="C17" s="17" t="n"/>
      <c r="D17" s="17" t="n"/>
      <c r="E17" s="18">
        <f>IF(C17="","",C17*D17)</f>
        <v/>
      </c>
    </row>
    <row r="18" ht="18" customHeight="1">
      <c r="A18" s="17" t="n"/>
      <c r="B18" s="17" t="n"/>
      <c r="C18" s="17" t="n"/>
      <c r="D18" s="17" t="n"/>
      <c r="E18" s="18">
        <f>IF(C18="","",C18*D18)</f>
        <v/>
      </c>
    </row>
    <row r="19" ht="18" customHeight="1">
      <c r="A19" s="17" t="n"/>
      <c r="B19" s="17" t="n"/>
      <c r="C19" s="17" t="n"/>
      <c r="D19" s="17" t="n"/>
      <c r="E19" s="18">
        <f>IF(C19="","",C19*D19)</f>
        <v/>
      </c>
    </row>
    <row r="20" ht="18" customHeight="1">
      <c r="A20" s="17" t="n"/>
      <c r="B20" s="17" t="n"/>
      <c r="C20" s="17" t="n"/>
      <c r="D20" s="17" t="n"/>
      <c r="E20" s="18">
        <f>IF(C20="","",C20*D20)</f>
        <v/>
      </c>
    </row>
    <row r="21" ht="18" customHeight="1">
      <c r="A21" s="17" t="n"/>
      <c r="B21" s="17" t="n"/>
      <c r="C21" s="17" t="n"/>
      <c r="D21" s="17" t="n"/>
      <c r="E21" s="18">
        <f>IF(C21="","",C21*D21)</f>
        <v/>
      </c>
    </row>
    <row r="22" ht="18" customHeight="1">
      <c r="A22" s="17" t="n"/>
      <c r="B22" s="17" t="n"/>
      <c r="C22" s="17" t="n"/>
      <c r="D22" s="17" t="n"/>
      <c r="E22" s="18">
        <f>IF(C22="","",C22*D22)</f>
        <v/>
      </c>
    </row>
    <row r="23" ht="18" customHeight="1">
      <c r="A23" s="17" t="n"/>
      <c r="B23" s="17" t="n"/>
      <c r="C23" s="17" t="n"/>
      <c r="D23" s="17" t="n"/>
      <c r="E23" s="18">
        <f>IF(C23="","",C23*D23)</f>
        <v/>
      </c>
    </row>
    <row r="24" ht="18" customHeight="1">
      <c r="A24" s="17" t="n"/>
      <c r="B24" s="17" t="n"/>
      <c r="C24" s="17" t="n"/>
      <c r="D24" s="17" t="n"/>
      <c r="E24" s="18">
        <f>IF(C24="","",C24*D24)</f>
        <v/>
      </c>
    </row>
    <row r="25" ht="18" customHeight="1">
      <c r="A25" s="17" t="n"/>
      <c r="B25" s="17" t="n"/>
      <c r="C25" s="17" t="n"/>
      <c r="D25" s="17" t="n"/>
      <c r="E25" s="18">
        <f>IF(C25="","",C25*D25)</f>
        <v/>
      </c>
    </row>
    <row r="26" ht="18" customHeight="1">
      <c r="A26" s="17" t="n"/>
      <c r="B26" s="17" t="n"/>
      <c r="C26" s="17" t="n"/>
      <c r="D26" s="17" t="n"/>
      <c r="E26" s="18">
        <f>IF(C26="","",C26*D26)</f>
        <v/>
      </c>
    </row>
    <row r="27" ht="18" customHeight="1">
      <c r="A27" s="17" t="n"/>
      <c r="B27" s="17" t="n"/>
      <c r="C27" s="17" t="n"/>
      <c r="D27" s="17" t="n"/>
      <c r="E27" s="18">
        <f>IF(C27="","",C27*D27)</f>
        <v/>
      </c>
    </row>
    <row r="28" ht="18" customHeight="1">
      <c r="A28" s="17" t="n"/>
      <c r="B28" s="17" t="n"/>
      <c r="C28" s="17" t="n"/>
      <c r="D28" s="17" t="n"/>
      <c r="E28" s="18">
        <f>IF(C28="","",C28*D28)</f>
        <v/>
      </c>
    </row>
    <row r="29" ht="18" customHeight="1">
      <c r="A29" s="17" t="n"/>
      <c r="B29" s="17" t="n"/>
      <c r="C29" s="17" t="n"/>
      <c r="D29" s="17" t="n"/>
      <c r="E29" s="18">
        <f>IF(C29="","",C29*D29)</f>
        <v/>
      </c>
    </row>
    <row r="30" ht="18" customHeight="1">
      <c r="A30" s="17" t="n"/>
      <c r="B30" s="17" t="n"/>
      <c r="C30" s="17" t="n"/>
      <c r="D30" s="17" t="n"/>
      <c r="E30" s="18">
        <f>IF(C30="","",C30*D30)</f>
        <v/>
      </c>
    </row>
    <row r="31" ht="18" customHeight="1">
      <c r="A31" s="17" t="n"/>
      <c r="B31" s="17" t="n"/>
      <c r="C31" s="17" t="n"/>
      <c r="D31" s="17" t="n"/>
      <c r="E31" s="18">
        <f>IF(C31="","",C31*D31)</f>
        <v/>
      </c>
    </row>
    <row r="32" ht="18" customHeight="1">
      <c r="A32" s="17" t="n"/>
      <c r="B32" s="17" t="n"/>
      <c r="C32" s="17" t="n"/>
      <c r="D32" s="17" t="n"/>
      <c r="E32" s="18">
        <f>IF(C32="","",C32*D32)</f>
        <v/>
      </c>
    </row>
    <row r="33" ht="18" customHeight="1">
      <c r="A33" s="17" t="n"/>
      <c r="B33" s="17" t="n"/>
      <c r="C33" s="17" t="n"/>
      <c r="D33" s="17" t="n"/>
      <c r="E33" s="18">
        <f>IF(C33="","",C33*D33)</f>
        <v/>
      </c>
    </row>
    <row r="34" ht="18" customHeight="1">
      <c r="A34" s="17" t="n"/>
      <c r="B34" s="17" t="n"/>
      <c r="C34" s="17" t="n"/>
      <c r="D34" s="17" t="n"/>
      <c r="E34" s="18">
        <f>IF(C34="","",C34*D34)</f>
        <v/>
      </c>
    </row>
    <row r="35" ht="18" customHeight="1">
      <c r="A35" s="17" t="n"/>
      <c r="B35" s="17" t="n"/>
      <c r="C35" s="17" t="n"/>
      <c r="D35" s="17" t="n"/>
      <c r="E35" s="18">
        <f>IF(C35="","",C35*D35)</f>
        <v/>
      </c>
    </row>
    <row r="36" ht="18" customHeight="1">
      <c r="A36" s="17" t="n"/>
      <c r="B36" s="17" t="n"/>
      <c r="C36" s="17" t="n"/>
      <c r="D36" s="17" t="n"/>
      <c r="E36" s="18">
        <f>IF(C36="","",C36*D36)</f>
        <v/>
      </c>
    </row>
    <row r="37" ht="18" customHeight="1">
      <c r="A37" s="17" t="n"/>
      <c r="B37" s="17" t="n"/>
      <c r="C37" s="17" t="n"/>
      <c r="D37" s="17" t="n"/>
      <c r="E37" s="18">
        <f>IF(C37="","",C37*D37)</f>
        <v/>
      </c>
    </row>
    <row r="38" ht="18" customHeight="1">
      <c r="A38" s="17" t="n"/>
      <c r="B38" s="17" t="n"/>
      <c r="C38" s="17" t="n"/>
      <c r="D38" s="17" t="n"/>
      <c r="E38" s="18">
        <f>IF(C38="","",C38*D38)</f>
        <v/>
      </c>
    </row>
    <row r="39" ht="18" customHeight="1">
      <c r="A39" s="17" t="n"/>
      <c r="B39" s="17" t="n"/>
      <c r="C39" s="17" t="n"/>
      <c r="D39" s="17" t="n"/>
      <c r="E39" s="18">
        <f>IF(C39="","",C39*D39)</f>
        <v/>
      </c>
    </row>
    <row r="40" ht="18" customHeight="1">
      <c r="A40" s="17" t="n"/>
      <c r="B40" s="17" t="n"/>
      <c r="C40" s="17" t="n"/>
      <c r="D40" s="17" t="n"/>
      <c r="E40" s="18">
        <f>IF(C40="","",C40*D40)</f>
        <v/>
      </c>
    </row>
    <row r="41" ht="18" customHeight="1">
      <c r="A41" s="17" t="n"/>
      <c r="B41" s="17" t="n"/>
      <c r="C41" s="17" t="n"/>
      <c r="D41" s="17" t="n"/>
      <c r="E41" s="18">
        <f>IF(C41="","",C41*D41)</f>
        <v/>
      </c>
    </row>
    <row r="42" ht="18" customHeight="1">
      <c r="A42" s="17" t="n"/>
      <c r="B42" s="17" t="n"/>
      <c r="C42" s="17" t="n"/>
      <c r="D42" s="17" t="n"/>
      <c r="E42" s="18">
        <f>IF(C42="","",C42*D42)</f>
        <v/>
      </c>
    </row>
    <row r="43" ht="18" customHeight="1">
      <c r="A43" s="17" t="n"/>
      <c r="B43" s="17" t="n"/>
      <c r="C43" s="17" t="n"/>
      <c r="D43" s="17" t="n"/>
      <c r="E43" s="18">
        <f>IF(C43="","",C43*D43)</f>
        <v/>
      </c>
    </row>
    <row r="44" ht="18" customHeight="1">
      <c r="A44" s="17" t="n"/>
      <c r="B44" s="17" t="n"/>
      <c r="C44" s="17" t="n"/>
      <c r="D44" s="17" t="n"/>
      <c r="E44" s="18">
        <f>IF(C44="","",C44*D44)</f>
        <v/>
      </c>
    </row>
    <row r="45" ht="18" customHeight="1">
      <c r="A45" s="17" t="n"/>
      <c r="B45" s="17" t="n"/>
      <c r="C45" s="17" t="n"/>
      <c r="D45" s="17" t="n"/>
      <c r="E45" s="18">
        <f>IF(C45="","",C45*D45)</f>
        <v/>
      </c>
    </row>
    <row r="46" ht="18" customHeight="1">
      <c r="A46" s="17" t="n"/>
      <c r="B46" s="17" t="n"/>
      <c r="C46" s="17" t="n"/>
      <c r="D46" s="17" t="n"/>
      <c r="E46" s="18">
        <f>IF(C46="","",C46*D46)</f>
        <v/>
      </c>
    </row>
    <row r="47" ht="18" customHeight="1">
      <c r="A47" s="17" t="n"/>
      <c r="B47" s="17" t="n"/>
      <c r="C47" s="17" t="n"/>
      <c r="D47" s="17" t="n"/>
      <c r="E47" s="18">
        <f>IF(C47="","",C47*D47)</f>
        <v/>
      </c>
    </row>
    <row r="48" ht="18" customHeight="1">
      <c r="A48" s="17" t="n"/>
      <c r="B48" s="17" t="n"/>
      <c r="C48" s="17" t="n"/>
      <c r="D48" s="17" t="n"/>
      <c r="E48" s="18">
        <f>IF(C48="","",C48*D48)</f>
        <v/>
      </c>
    </row>
    <row r="49" ht="18" customHeight="1">
      <c r="A49" s="17" t="n"/>
      <c r="B49" s="17" t="n"/>
      <c r="C49" s="17" t="n"/>
      <c r="D49" s="17" t="n"/>
      <c r="E49" s="18">
        <f>IF(C49="","",C49*D49)</f>
        <v/>
      </c>
    </row>
    <row r="50" ht="18" customHeight="1">
      <c r="A50" s="17" t="n"/>
      <c r="B50" s="17" t="n"/>
      <c r="C50" s="17" t="n"/>
      <c r="D50" s="17" t="n"/>
      <c r="E50" s="18">
        <f>IF(C50="","",C50*D50)</f>
        <v/>
      </c>
    </row>
    <row r="51" ht="18" customHeight="1">
      <c r="A51" s="17" t="n"/>
      <c r="B51" s="17" t="n"/>
      <c r="C51" s="17" t="n"/>
      <c r="D51" s="17" t="n"/>
      <c r="E51" s="18">
        <f>IF(C51="","",C51*D51)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E480E"/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8" customWidth="1" min="7" max="7"/>
  </cols>
  <sheetData>
    <row r="1" ht="22" customHeight="1">
      <c r="A1" s="1" t="inlineStr">
        <is>
          <t>05  製造時間　―　商品ごとの工程時間と作業負荷を管理</t>
        </is>
      </c>
    </row>
    <row r="2">
      <c r="A2" s="19" t="inlineStr">
        <is>
          <t>商品名</t>
        </is>
      </c>
      <c r="B2" s="19" t="inlineStr">
        <is>
          <t>仕込み時間</t>
        </is>
      </c>
      <c r="C2" s="19" t="inlineStr">
        <is>
          <t>成形時間</t>
        </is>
      </c>
      <c r="D2" s="19" t="inlineStr">
        <is>
          <t>焼成時間</t>
        </is>
      </c>
      <c r="E2" s="19" t="inlineStr">
        <is>
          <t>合計時間（分）</t>
        </is>
      </c>
      <c r="F2" s="19" t="inlineStr">
        <is>
          <t>作業人数</t>
        </is>
      </c>
      <c r="G2" s="19" t="inlineStr">
        <is>
          <t>粗利/時間 (円/時)</t>
        </is>
      </c>
    </row>
    <row r="3" ht="18" customHeight="1">
      <c r="A3" s="4" t="inlineStr">
        <is>
          <t>食パン（1斤）</t>
        </is>
      </c>
      <c r="B3" s="5" t="n">
        <v>30</v>
      </c>
      <c r="C3" s="5" t="n">
        <v>10</v>
      </c>
      <c r="D3" s="5" t="n">
        <v>50</v>
      </c>
      <c r="E3" s="20">
        <f>SUM(B3:D3)</f>
        <v/>
      </c>
      <c r="F3" s="5" t="n">
        <v>1</v>
      </c>
      <c r="G3" s="20">
        <f>IFERROR((XLOOKUP(A3,'02_商品マスタ'!B:B,'02_商品マスタ'!F:F,0))/(E3/60),0)</f>
        <v/>
      </c>
    </row>
    <row r="4" ht="18" customHeight="1">
      <c r="A4" s="4" t="inlineStr">
        <is>
          <t>ベーグル（プレーン）</t>
        </is>
      </c>
      <c r="B4" s="5" t="n">
        <v>30</v>
      </c>
      <c r="C4" s="5" t="n">
        <v>20</v>
      </c>
      <c r="D4" s="5" t="n">
        <v>25</v>
      </c>
      <c r="E4" s="20">
        <f>SUM(B4:D4)</f>
        <v/>
      </c>
      <c r="F4" s="5" t="n">
        <v>1</v>
      </c>
      <c r="G4" s="20">
        <f>IFERROR((XLOOKUP(A4,'02_商品マスタ'!B:B,'02_商品マスタ'!F:F,0))/(E4/60),0)</f>
        <v/>
      </c>
    </row>
    <row r="5" ht="18" customHeight="1">
      <c r="A5" s="4" t="inlineStr">
        <is>
          <t>クロワッサン</t>
        </is>
      </c>
      <c r="B5" s="5" t="n">
        <v>60</v>
      </c>
      <c r="C5" s="5" t="n">
        <v>40</v>
      </c>
      <c r="D5" s="5" t="n">
        <v>20</v>
      </c>
      <c r="E5" s="20">
        <f>SUM(B5:D5)</f>
        <v/>
      </c>
      <c r="F5" s="5" t="n">
        <v>2</v>
      </c>
      <c r="G5" s="20">
        <f>IFERROR((XLOOKUP(A5,'02_商品マスタ'!B:B,'02_商品マスタ'!F:F,0))/(E5/60),0)</f>
        <v/>
      </c>
    </row>
    <row r="6" ht="18" customHeight="1">
      <c r="A6" s="4" t="inlineStr">
        <is>
          <t>カレーパン</t>
        </is>
      </c>
      <c r="B6" s="5" t="n">
        <v>30</v>
      </c>
      <c r="C6" s="5" t="n">
        <v>30</v>
      </c>
      <c r="D6" s="5" t="n">
        <v>20</v>
      </c>
      <c r="E6" s="20">
        <f>SUM(B6:D6)</f>
        <v/>
      </c>
      <c r="F6" s="5" t="n">
        <v>1</v>
      </c>
      <c r="G6" s="20">
        <f>IFERROR((XLOOKUP(A6,'02_商品マスタ'!B:B,'02_商品マスタ'!F:F,0))/(E6/60),0)</f>
        <v/>
      </c>
    </row>
    <row r="7" ht="18" customHeight="1">
      <c r="A7" s="4" t="inlineStr">
        <is>
          <t>メロンパン</t>
        </is>
      </c>
      <c r="B7" s="5" t="n">
        <v>30</v>
      </c>
      <c r="C7" s="5" t="n">
        <v>25</v>
      </c>
      <c r="D7" s="5" t="n">
        <v>15</v>
      </c>
      <c r="E7" s="20">
        <f>SUM(B7:D7)</f>
        <v/>
      </c>
      <c r="F7" s="5" t="n">
        <v>1</v>
      </c>
      <c r="G7" s="20">
        <f>IFERROR((XLOOKUP(A7,'02_商品マスタ'!B:B,'02_商品マスタ'!F:F,0))/(E7/60),0)</f>
        <v/>
      </c>
    </row>
    <row r="8" ht="18" customHeight="1">
      <c r="A8" s="4" t="inlineStr">
        <is>
          <t>チョコデニッシュ</t>
        </is>
      </c>
      <c r="B8" s="5" t="n">
        <v>45</v>
      </c>
      <c r="C8" s="5" t="n">
        <v>30</v>
      </c>
      <c r="D8" s="5" t="n">
        <v>20</v>
      </c>
      <c r="E8" s="20">
        <f>SUM(B8:D8)</f>
        <v/>
      </c>
      <c r="F8" s="5" t="n">
        <v>2</v>
      </c>
      <c r="G8" s="20">
        <f>IFERROR((XLOOKUP(A8,'02_商品マスタ'!B:B,'02_商品マスタ'!F:F,0))/(E8/60),0)</f>
        <v/>
      </c>
    </row>
    <row r="9" ht="18" customHeight="1">
      <c r="A9" s="4" t="inlineStr">
        <is>
          <t>バゲット</t>
        </is>
      </c>
      <c r="B9" s="5" t="n">
        <v>20</v>
      </c>
      <c r="C9" s="5" t="n">
        <v>10</v>
      </c>
      <c r="D9" s="5" t="n">
        <v>30</v>
      </c>
      <c r="E9" s="20">
        <f>SUM(B9:D9)</f>
        <v/>
      </c>
      <c r="F9" s="5" t="n">
        <v>1</v>
      </c>
      <c r="G9" s="20">
        <f>IFERROR((XLOOKUP(A9,'02_商品マスタ'!B:B,'02_商品マスタ'!F:F,0))/(E9/60),0)</f>
        <v/>
      </c>
    </row>
    <row r="10" ht="18" customHeight="1">
      <c r="A10" s="4" t="inlineStr">
        <is>
          <t>シナモンロール</t>
        </is>
      </c>
      <c r="B10" s="5" t="n">
        <v>40</v>
      </c>
      <c r="C10" s="5" t="n">
        <v>20</v>
      </c>
      <c r="D10" s="5" t="n">
        <v>25</v>
      </c>
      <c r="E10" s="20">
        <f>SUM(B10:D10)</f>
        <v/>
      </c>
      <c r="F10" s="5" t="n">
        <v>1</v>
      </c>
      <c r="G10" s="20">
        <f>IFERROR((XLOOKUP(A10,'02_商品マスタ'!B:B,'02_商品マスタ'!F:F,0))/(E10/60),0)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G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</cols>
  <sheetData>
    <row r="1" ht="22" customHeight="1">
      <c r="A1" s="1" t="inlineStr">
        <is>
          <t>06  人件費　―　シフト・労働時間・人件費を記録</t>
        </is>
      </c>
    </row>
    <row r="2">
      <c r="A2" s="21" t="inlineStr">
        <is>
          <t>日付</t>
        </is>
      </c>
      <c r="B2" s="21" t="inlineStr">
        <is>
          <t>スタッフ名</t>
        </is>
      </c>
      <c r="C2" s="21" t="inlineStr">
        <is>
          <t>出勤</t>
        </is>
      </c>
      <c r="D2" s="21" t="inlineStr">
        <is>
          <t>退勤</t>
        </is>
      </c>
      <c r="E2" s="21" t="inlineStr">
        <is>
          <t>時給 (円)</t>
        </is>
      </c>
      <c r="F2" s="21" t="inlineStr">
        <is>
          <t>労働時間 (h)</t>
        </is>
      </c>
      <c r="G2" s="21" t="inlineStr">
        <is>
          <t>人件費 (円)</t>
        </is>
      </c>
    </row>
    <row r="3" ht="18" customHeight="1">
      <c r="A3" s="3" t="n">
        <v>45444</v>
      </c>
      <c r="B3" s="4" t="inlineStr">
        <is>
          <t>田中 花子</t>
        </is>
      </c>
      <c r="C3" s="22" t="n">
        <v>0.25</v>
      </c>
      <c r="D3" s="22" t="n">
        <v>0.5833333333333334</v>
      </c>
      <c r="E3" s="6" t="n">
        <v>1050</v>
      </c>
      <c r="F3" s="23">
        <f>(D3-C3)*24</f>
        <v/>
      </c>
      <c r="G3" s="7">
        <f>F3*E3</f>
        <v/>
      </c>
    </row>
    <row r="4" ht="18" customHeight="1">
      <c r="A4" s="3" t="n">
        <v>45444</v>
      </c>
      <c r="B4" s="4" t="inlineStr">
        <is>
          <t>鈴木 太郎</t>
        </is>
      </c>
      <c r="C4" s="22" t="n">
        <v>0.3333333333333333</v>
      </c>
      <c r="D4" s="22" t="n">
        <v>0.6666666666666666</v>
      </c>
      <c r="E4" s="6" t="n">
        <v>1000</v>
      </c>
      <c r="F4" s="23">
        <f>(D4-C4)*24</f>
        <v/>
      </c>
      <c r="G4" s="7">
        <f>F4*E4</f>
        <v/>
      </c>
    </row>
    <row r="5" ht="18" customHeight="1">
      <c r="A5" s="3" t="n">
        <v>45445</v>
      </c>
      <c r="B5" s="4" t="inlineStr">
        <is>
          <t>田中 花子</t>
        </is>
      </c>
      <c r="C5" s="22" t="n">
        <v>0.25</v>
      </c>
      <c r="D5" s="22" t="n">
        <v>0.5833333333333334</v>
      </c>
      <c r="E5" s="6" t="n">
        <v>1050</v>
      </c>
      <c r="F5" s="23">
        <f>(D5-C5)*24</f>
        <v/>
      </c>
      <c r="G5" s="7">
        <f>F5*E5</f>
        <v/>
      </c>
    </row>
    <row r="6" ht="18" customHeight="1">
      <c r="A6" s="3" t="n">
        <v>45446</v>
      </c>
      <c r="B6" s="4" t="inlineStr">
        <is>
          <t>鈴木 太郎</t>
        </is>
      </c>
      <c r="C6" s="22" t="n">
        <v>0.2916666666666667</v>
      </c>
      <c r="D6" s="22" t="n">
        <v>0.625</v>
      </c>
      <c r="E6" s="6" t="n">
        <v>1000</v>
      </c>
      <c r="F6" s="23">
        <f>(D6-C6)*24</f>
        <v/>
      </c>
      <c r="G6" s="7">
        <f>F6*E6</f>
        <v/>
      </c>
    </row>
    <row r="7" ht="18" customHeight="1">
      <c r="A7" s="24" t="n"/>
      <c r="B7" s="24" t="n"/>
      <c r="C7" s="24" t="n"/>
      <c r="D7" s="24" t="n"/>
      <c r="E7" s="24" t="n"/>
      <c r="F7" s="25">
        <f>IFERROR((D7-C7)*24,"")</f>
        <v/>
      </c>
      <c r="G7" s="26">
        <f>IFERROR(F7*E7,"")</f>
        <v/>
      </c>
    </row>
    <row r="8" ht="18" customHeight="1">
      <c r="A8" s="24" t="n"/>
      <c r="B8" s="24" t="n"/>
      <c r="C8" s="24" t="n"/>
      <c r="D8" s="24" t="n"/>
      <c r="E8" s="24" t="n"/>
      <c r="F8" s="25">
        <f>IFERROR((D8-C8)*24,"")</f>
        <v/>
      </c>
      <c r="G8" s="26">
        <f>IFERROR(F8*E8,"")</f>
        <v/>
      </c>
    </row>
    <row r="9" ht="18" customHeight="1">
      <c r="A9" s="24" t="n"/>
      <c r="B9" s="24" t="n"/>
      <c r="C9" s="24" t="n"/>
      <c r="D9" s="24" t="n"/>
      <c r="E9" s="24" t="n"/>
      <c r="F9" s="25">
        <f>IFERROR((D9-C9)*24,"")</f>
        <v/>
      </c>
      <c r="G9" s="26">
        <f>IFERROR(F9*E9,"")</f>
        <v/>
      </c>
    </row>
    <row r="10" ht="18" customHeight="1">
      <c r="A10" s="24" t="n"/>
      <c r="B10" s="24" t="n"/>
      <c r="C10" s="24" t="n"/>
      <c r="D10" s="24" t="n"/>
      <c r="E10" s="24" t="n"/>
      <c r="F10" s="25">
        <f>IFERROR((D10-C10)*24,"")</f>
        <v/>
      </c>
      <c r="G10" s="26">
        <f>IFERROR(F10*E10,"")</f>
        <v/>
      </c>
    </row>
    <row r="11" ht="18" customHeight="1">
      <c r="A11" s="24" t="n"/>
      <c r="B11" s="24" t="n"/>
      <c r="C11" s="24" t="n"/>
      <c r="D11" s="24" t="n"/>
      <c r="E11" s="24" t="n"/>
      <c r="F11" s="25">
        <f>IFERROR((D11-C11)*24,"")</f>
        <v/>
      </c>
      <c r="G11" s="26">
        <f>IFERROR(F11*E11,"")</f>
        <v/>
      </c>
    </row>
    <row r="12" ht="18" customHeight="1">
      <c r="A12" s="24" t="n"/>
      <c r="B12" s="24" t="n"/>
      <c r="C12" s="24" t="n"/>
      <c r="D12" s="24" t="n"/>
      <c r="E12" s="24" t="n"/>
      <c r="F12" s="25">
        <f>IFERROR((D12-C12)*24,"")</f>
        <v/>
      </c>
      <c r="G12" s="26">
        <f>IFERROR(F12*E12,"")</f>
        <v/>
      </c>
    </row>
    <row r="13" ht="18" customHeight="1">
      <c r="A13" s="24" t="n"/>
      <c r="B13" s="24" t="n"/>
      <c r="C13" s="24" t="n"/>
      <c r="D13" s="24" t="n"/>
      <c r="E13" s="24" t="n"/>
      <c r="F13" s="25">
        <f>IFERROR((D13-C13)*24,"")</f>
        <v/>
      </c>
      <c r="G13" s="26">
        <f>IFERROR(F13*E13,"")</f>
        <v/>
      </c>
    </row>
    <row r="14" ht="18" customHeight="1">
      <c r="A14" s="24" t="n"/>
      <c r="B14" s="24" t="n"/>
      <c r="C14" s="24" t="n"/>
      <c r="D14" s="24" t="n"/>
      <c r="E14" s="24" t="n"/>
      <c r="F14" s="25">
        <f>IFERROR((D14-C14)*24,"")</f>
        <v/>
      </c>
      <c r="G14" s="26">
        <f>IFERROR(F14*E14,"")</f>
        <v/>
      </c>
    </row>
    <row r="15" ht="18" customHeight="1">
      <c r="A15" s="24" t="n"/>
      <c r="B15" s="24" t="n"/>
      <c r="C15" s="24" t="n"/>
      <c r="D15" s="24" t="n"/>
      <c r="E15" s="24" t="n"/>
      <c r="F15" s="25">
        <f>IFERROR((D15-C15)*24,"")</f>
        <v/>
      </c>
      <c r="G15" s="26">
        <f>IFERROR(F15*E15,"")</f>
        <v/>
      </c>
    </row>
    <row r="16" ht="18" customHeight="1">
      <c r="A16" s="24" t="n"/>
      <c r="B16" s="24" t="n"/>
      <c r="C16" s="24" t="n"/>
      <c r="D16" s="24" t="n"/>
      <c r="E16" s="24" t="n"/>
      <c r="F16" s="25">
        <f>IFERROR((D16-C16)*24,"")</f>
        <v/>
      </c>
      <c r="G16" s="26">
        <f>IFERROR(F16*E16,"")</f>
        <v/>
      </c>
    </row>
    <row r="17" ht="18" customHeight="1">
      <c r="A17" s="24" t="n"/>
      <c r="B17" s="24" t="n"/>
      <c r="C17" s="24" t="n"/>
      <c r="D17" s="24" t="n"/>
      <c r="E17" s="24" t="n"/>
      <c r="F17" s="25">
        <f>IFERROR((D17-C17)*24,"")</f>
        <v/>
      </c>
      <c r="G17" s="26">
        <f>IFERROR(F17*E17,"")</f>
        <v/>
      </c>
    </row>
    <row r="18" ht="18" customHeight="1">
      <c r="A18" s="24" t="n"/>
      <c r="B18" s="24" t="n"/>
      <c r="C18" s="24" t="n"/>
      <c r="D18" s="24" t="n"/>
      <c r="E18" s="24" t="n"/>
      <c r="F18" s="25">
        <f>IFERROR((D18-C18)*24,"")</f>
        <v/>
      </c>
      <c r="G18" s="26">
        <f>IFERROR(F18*E18,"")</f>
        <v/>
      </c>
    </row>
    <row r="19" ht="18" customHeight="1">
      <c r="A19" s="24" t="n"/>
      <c r="B19" s="24" t="n"/>
      <c r="C19" s="24" t="n"/>
      <c r="D19" s="24" t="n"/>
      <c r="E19" s="24" t="n"/>
      <c r="F19" s="25">
        <f>IFERROR((D19-C19)*24,"")</f>
        <v/>
      </c>
      <c r="G19" s="26">
        <f>IFERROR(F19*E19,"")</f>
        <v/>
      </c>
    </row>
    <row r="20" ht="18" customHeight="1">
      <c r="A20" s="24" t="n"/>
      <c r="B20" s="24" t="n"/>
      <c r="C20" s="24" t="n"/>
      <c r="D20" s="24" t="n"/>
      <c r="E20" s="24" t="n"/>
      <c r="F20" s="25">
        <f>IFERROR((D20-C20)*24,"")</f>
        <v/>
      </c>
      <c r="G20" s="26">
        <f>IFERROR(F20*E20,"")</f>
        <v/>
      </c>
    </row>
    <row r="21" ht="18" customHeight="1">
      <c r="A21" s="24" t="n"/>
      <c r="B21" s="24" t="n"/>
      <c r="C21" s="24" t="n"/>
      <c r="D21" s="24" t="n"/>
      <c r="E21" s="24" t="n"/>
      <c r="F21" s="25">
        <f>IFERROR((D21-C21)*24,"")</f>
        <v/>
      </c>
      <c r="G21" s="26">
        <f>IFERROR(F21*E21,"")</f>
        <v/>
      </c>
    </row>
    <row r="22" ht="18" customHeight="1">
      <c r="A22" s="24" t="n"/>
      <c r="B22" s="24" t="n"/>
      <c r="C22" s="24" t="n"/>
      <c r="D22" s="24" t="n"/>
      <c r="E22" s="24" t="n"/>
      <c r="F22" s="25">
        <f>IFERROR((D22-C22)*24,"")</f>
        <v/>
      </c>
      <c r="G22" s="26">
        <f>IFERROR(F22*E22,"")</f>
        <v/>
      </c>
    </row>
    <row r="23" ht="18" customHeight="1">
      <c r="A23" s="24" t="n"/>
      <c r="B23" s="24" t="n"/>
      <c r="C23" s="24" t="n"/>
      <c r="D23" s="24" t="n"/>
      <c r="E23" s="24" t="n"/>
      <c r="F23" s="25">
        <f>IFERROR((D23-C23)*24,"")</f>
        <v/>
      </c>
      <c r="G23" s="26">
        <f>IFERROR(F23*E23,"")</f>
        <v/>
      </c>
    </row>
    <row r="24" ht="18" customHeight="1">
      <c r="A24" s="24" t="n"/>
      <c r="B24" s="24" t="n"/>
      <c r="C24" s="24" t="n"/>
      <c r="D24" s="24" t="n"/>
      <c r="E24" s="24" t="n"/>
      <c r="F24" s="25">
        <f>IFERROR((D24-C24)*24,"")</f>
        <v/>
      </c>
      <c r="G24" s="26">
        <f>IFERROR(F24*E24,"")</f>
        <v/>
      </c>
    </row>
    <row r="25" ht="18" customHeight="1">
      <c r="A25" s="24" t="n"/>
      <c r="B25" s="24" t="n"/>
      <c r="C25" s="24" t="n"/>
      <c r="D25" s="24" t="n"/>
      <c r="E25" s="24" t="n"/>
      <c r="F25" s="25">
        <f>IFERROR((D25-C25)*24,"")</f>
        <v/>
      </c>
      <c r="G25" s="26">
        <f>IFERROR(F25*E25,"")</f>
        <v/>
      </c>
    </row>
    <row r="26" ht="18" customHeight="1">
      <c r="A26" s="24" t="n"/>
      <c r="B26" s="24" t="n"/>
      <c r="C26" s="24" t="n"/>
      <c r="D26" s="24" t="n"/>
      <c r="E26" s="24" t="n"/>
      <c r="F26" s="25">
        <f>IFERROR((D26-C26)*24,"")</f>
        <v/>
      </c>
      <c r="G26" s="26">
        <f>IFERROR(F26*E26,"")</f>
        <v/>
      </c>
    </row>
    <row r="27" ht="18" customHeight="1">
      <c r="A27" s="24" t="n"/>
      <c r="B27" s="24" t="n"/>
      <c r="C27" s="24" t="n"/>
      <c r="D27" s="24" t="n"/>
      <c r="E27" s="24" t="n"/>
      <c r="F27" s="25">
        <f>IFERROR((D27-C27)*24,"")</f>
        <v/>
      </c>
      <c r="G27" s="26">
        <f>IFERROR(F27*E27,"")</f>
        <v/>
      </c>
    </row>
    <row r="28" ht="18" customHeight="1">
      <c r="A28" s="24" t="n"/>
      <c r="B28" s="24" t="n"/>
      <c r="C28" s="24" t="n"/>
      <c r="D28" s="24" t="n"/>
      <c r="E28" s="24" t="n"/>
      <c r="F28" s="25">
        <f>IFERROR((D28-C28)*24,"")</f>
        <v/>
      </c>
      <c r="G28" s="26">
        <f>IFERROR(F28*E28,"")</f>
        <v/>
      </c>
    </row>
    <row r="29" ht="18" customHeight="1">
      <c r="A29" s="24" t="n"/>
      <c r="B29" s="24" t="n"/>
      <c r="C29" s="24" t="n"/>
      <c r="D29" s="24" t="n"/>
      <c r="E29" s="24" t="n"/>
      <c r="F29" s="25">
        <f>IFERROR((D29-C29)*24,"")</f>
        <v/>
      </c>
      <c r="G29" s="26">
        <f>IFERROR(F29*E29,"")</f>
        <v/>
      </c>
    </row>
    <row r="30" ht="18" customHeight="1">
      <c r="A30" s="24" t="n"/>
      <c r="B30" s="24" t="n"/>
      <c r="C30" s="24" t="n"/>
      <c r="D30" s="24" t="n"/>
      <c r="E30" s="24" t="n"/>
      <c r="F30" s="25">
        <f>IFERROR((D30-C30)*24,"")</f>
        <v/>
      </c>
      <c r="G30" s="26">
        <f>IFERROR(F30*E30,"")</f>
        <v/>
      </c>
    </row>
    <row r="31" ht="18" customHeight="1">
      <c r="A31" s="24" t="n"/>
      <c r="B31" s="24" t="n"/>
      <c r="C31" s="24" t="n"/>
      <c r="D31" s="24" t="n"/>
      <c r="E31" s="24" t="n"/>
      <c r="F31" s="25">
        <f>IFERROR((D31-C31)*24,"")</f>
        <v/>
      </c>
      <c r="G31" s="26">
        <f>IFERROR(F31*E31,"")</f>
        <v/>
      </c>
    </row>
    <row r="32" ht="18" customHeight="1">
      <c r="A32" s="24" t="n"/>
      <c r="B32" s="24" t="n"/>
      <c r="C32" s="24" t="n"/>
      <c r="D32" s="24" t="n"/>
      <c r="E32" s="24" t="n"/>
      <c r="F32" s="25">
        <f>IFERROR((D32-C32)*24,"")</f>
        <v/>
      </c>
      <c r="G32" s="26">
        <f>IFERROR(F32*E32,"")</f>
        <v/>
      </c>
    </row>
    <row r="33" ht="18" customHeight="1">
      <c r="A33" s="24" t="n"/>
      <c r="B33" s="24" t="n"/>
      <c r="C33" s="24" t="n"/>
      <c r="D33" s="24" t="n"/>
      <c r="E33" s="24" t="n"/>
      <c r="F33" s="25">
        <f>IFERROR((D33-C33)*24,"")</f>
        <v/>
      </c>
      <c r="G33" s="26">
        <f>IFERROR(F33*E33,"")</f>
        <v/>
      </c>
    </row>
    <row r="34" ht="18" customHeight="1">
      <c r="A34" s="24" t="n"/>
      <c r="B34" s="24" t="n"/>
      <c r="C34" s="24" t="n"/>
      <c r="D34" s="24" t="n"/>
      <c r="E34" s="24" t="n"/>
      <c r="F34" s="25">
        <f>IFERROR((D34-C34)*24,"")</f>
        <v/>
      </c>
      <c r="G34" s="26">
        <f>IFERROR(F34*E34,"")</f>
        <v/>
      </c>
    </row>
    <row r="35" ht="18" customHeight="1">
      <c r="A35" s="24" t="n"/>
      <c r="B35" s="24" t="n"/>
      <c r="C35" s="24" t="n"/>
      <c r="D35" s="24" t="n"/>
      <c r="E35" s="24" t="n"/>
      <c r="F35" s="25">
        <f>IFERROR((D35-C35)*24,"")</f>
        <v/>
      </c>
      <c r="G35" s="26">
        <f>IFERROR(F35*E35,"")</f>
        <v/>
      </c>
    </row>
    <row r="36" ht="18" customHeight="1">
      <c r="A36" s="24" t="n"/>
      <c r="B36" s="24" t="n"/>
      <c r="C36" s="24" t="n"/>
      <c r="D36" s="24" t="n"/>
      <c r="E36" s="24" t="n"/>
      <c r="F36" s="25">
        <f>IFERROR((D36-C36)*24,"")</f>
        <v/>
      </c>
      <c r="G36" s="26">
        <f>IFERROR(F36*E36,"")</f>
        <v/>
      </c>
    </row>
    <row r="37" ht="18" customHeight="1">
      <c r="A37" s="24" t="n"/>
      <c r="B37" s="24" t="n"/>
      <c r="C37" s="24" t="n"/>
      <c r="D37" s="24" t="n"/>
      <c r="E37" s="24" t="n"/>
      <c r="F37" s="25">
        <f>IFERROR((D37-C37)*24,"")</f>
        <v/>
      </c>
      <c r="G37" s="26">
        <f>IFERROR(F37*E37,"")</f>
        <v/>
      </c>
    </row>
    <row r="38" ht="18" customHeight="1">
      <c r="A38" s="24" t="n"/>
      <c r="B38" s="24" t="n"/>
      <c r="C38" s="24" t="n"/>
      <c r="D38" s="24" t="n"/>
      <c r="E38" s="24" t="n"/>
      <c r="F38" s="25">
        <f>IFERROR((D38-C38)*24,"")</f>
        <v/>
      </c>
      <c r="G38" s="26">
        <f>IFERROR(F38*E38,"")</f>
        <v/>
      </c>
    </row>
    <row r="39" ht="18" customHeight="1">
      <c r="A39" s="24" t="n"/>
      <c r="B39" s="24" t="n"/>
      <c r="C39" s="24" t="n"/>
      <c r="D39" s="24" t="n"/>
      <c r="E39" s="24" t="n"/>
      <c r="F39" s="25">
        <f>IFERROR((D39-C39)*24,"")</f>
        <v/>
      </c>
      <c r="G39" s="26">
        <f>IFERROR(F39*E39,"")</f>
        <v/>
      </c>
    </row>
    <row r="40" ht="18" customHeight="1">
      <c r="A40" s="24" t="n"/>
      <c r="B40" s="24" t="n"/>
      <c r="C40" s="24" t="n"/>
      <c r="D40" s="24" t="n"/>
      <c r="E40" s="24" t="n"/>
      <c r="F40" s="25">
        <f>IFERROR((D40-C40)*24,"")</f>
        <v/>
      </c>
      <c r="G40" s="26">
        <f>IFERROR(F40*E40,"")</f>
        <v/>
      </c>
    </row>
    <row r="41" ht="18" customHeight="1">
      <c r="A41" s="24" t="n"/>
      <c r="B41" s="24" t="n"/>
      <c r="C41" s="24" t="n"/>
      <c r="D41" s="24" t="n"/>
      <c r="E41" s="24" t="n"/>
      <c r="F41" s="25">
        <f>IFERROR((D41-C41)*24,"")</f>
        <v/>
      </c>
      <c r="G41" s="26">
        <f>IFERROR(F41*E41,"")</f>
        <v/>
      </c>
    </row>
    <row r="42" ht="18" customHeight="1">
      <c r="A42" s="24" t="n"/>
      <c r="B42" s="24" t="n"/>
      <c r="C42" s="24" t="n"/>
      <c r="D42" s="24" t="n"/>
      <c r="E42" s="24" t="n"/>
      <c r="F42" s="25">
        <f>IFERROR((D42-C42)*24,"")</f>
        <v/>
      </c>
      <c r="G42" s="26">
        <f>IFERROR(F42*E42,"")</f>
        <v/>
      </c>
    </row>
    <row r="43" ht="18" customHeight="1">
      <c r="A43" s="24" t="n"/>
      <c r="B43" s="24" t="n"/>
      <c r="C43" s="24" t="n"/>
      <c r="D43" s="24" t="n"/>
      <c r="E43" s="24" t="n"/>
      <c r="F43" s="25">
        <f>IFERROR((D43-C43)*24,"")</f>
        <v/>
      </c>
      <c r="G43" s="26">
        <f>IFERROR(F43*E43,"")</f>
        <v/>
      </c>
    </row>
    <row r="44" ht="18" customHeight="1">
      <c r="A44" s="24" t="n"/>
      <c r="B44" s="24" t="n"/>
      <c r="C44" s="24" t="n"/>
      <c r="D44" s="24" t="n"/>
      <c r="E44" s="24" t="n"/>
      <c r="F44" s="25">
        <f>IFERROR((D44-C44)*24,"")</f>
        <v/>
      </c>
      <c r="G44" s="26">
        <f>IFERROR(F44*E44,"")</f>
        <v/>
      </c>
    </row>
    <row r="45" ht="18" customHeight="1">
      <c r="A45" s="24" t="n"/>
      <c r="B45" s="24" t="n"/>
      <c r="C45" s="24" t="n"/>
      <c r="D45" s="24" t="n"/>
      <c r="E45" s="24" t="n"/>
      <c r="F45" s="25">
        <f>IFERROR((D45-C45)*24,"")</f>
        <v/>
      </c>
      <c r="G45" s="26">
        <f>IFERROR(F45*E45,"")</f>
        <v/>
      </c>
    </row>
    <row r="46" ht="18" customHeight="1">
      <c r="A46" s="24" t="n"/>
      <c r="B46" s="24" t="n"/>
      <c r="C46" s="24" t="n"/>
      <c r="D46" s="24" t="n"/>
      <c r="E46" s="24" t="n"/>
      <c r="F46" s="25">
        <f>IFERROR((D46-C46)*24,"")</f>
        <v/>
      </c>
      <c r="G46" s="26">
        <f>IFERROR(F46*E46,"")</f>
        <v/>
      </c>
    </row>
    <row r="47" ht="18" customHeight="1">
      <c r="A47" s="24" t="n"/>
      <c r="B47" s="24" t="n"/>
      <c r="C47" s="24" t="n"/>
      <c r="D47" s="24" t="n"/>
      <c r="E47" s="24" t="n"/>
      <c r="F47" s="25">
        <f>IFERROR((D47-C47)*24,"")</f>
        <v/>
      </c>
      <c r="G47" s="26">
        <f>IFERROR(F47*E47,"")</f>
        <v/>
      </c>
    </row>
    <row r="48" ht="18" customHeight="1">
      <c r="A48" s="24" t="n"/>
      <c r="B48" s="24" t="n"/>
      <c r="C48" s="24" t="n"/>
      <c r="D48" s="24" t="n"/>
      <c r="E48" s="24" t="n"/>
      <c r="F48" s="25">
        <f>IFERROR((D48-C48)*24,"")</f>
        <v/>
      </c>
      <c r="G48" s="26">
        <f>IFERROR(F48*E48,"")</f>
        <v/>
      </c>
    </row>
    <row r="49" ht="18" customHeight="1">
      <c r="A49" s="24" t="n"/>
      <c r="B49" s="24" t="n"/>
      <c r="C49" s="24" t="n"/>
      <c r="D49" s="24" t="n"/>
      <c r="E49" s="24" t="n"/>
      <c r="F49" s="25">
        <f>IFERROR((D49-C49)*24,"")</f>
        <v/>
      </c>
      <c r="G49" s="26">
        <f>IFERROR(F49*E49,"")</f>
        <v/>
      </c>
    </row>
    <row r="50" ht="18" customHeight="1">
      <c r="A50" s="24" t="n"/>
      <c r="B50" s="24" t="n"/>
      <c r="C50" s="24" t="n"/>
      <c r="D50" s="24" t="n"/>
      <c r="E50" s="24" t="n"/>
      <c r="F50" s="25">
        <f>IFERROR((D50-C50)*24,"")</f>
        <v/>
      </c>
      <c r="G50" s="26">
        <f>IFERROR(F50*E50,"")</f>
        <v/>
      </c>
    </row>
    <row r="51" ht="18" customHeight="1">
      <c r="A51" s="24" t="n"/>
      <c r="B51" s="24" t="n"/>
      <c r="C51" s="24" t="n"/>
      <c r="D51" s="24" t="n"/>
      <c r="E51" s="24" t="n"/>
      <c r="F51" s="25">
        <f>IFERROR((D51-C51)*24,"")</f>
        <v/>
      </c>
      <c r="G51" s="26">
        <f>IFERROR(F51*E51,"")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8" customWidth="1" min="3" max="3"/>
    <col width="4" customWidth="1" min="4" max="4"/>
    <col width="22" customWidth="1" min="5" max="5"/>
    <col width="16" customWidth="1" min="6" max="6"/>
    <col width="12" customWidth="1" min="7" max="7"/>
    <col width="12" customWidth="1" min="8" max="8"/>
    <col width="14" customWidth="1" min="9" max="9"/>
  </cols>
  <sheetData>
    <row r="1" ht="26" customHeight="1">
      <c r="A1" s="1" t="inlineStr">
        <is>
          <t>07  分析ダッシュボード　―　自動集計・可視化</t>
        </is>
      </c>
    </row>
    <row r="3">
      <c r="A3" s="27" t="inlineStr">
        <is>
          <t>■ KPI サマリ（累計）</t>
        </is>
      </c>
      <c r="E3" s="27" t="inlineStr">
        <is>
          <t>■ 商品別売上ランキング</t>
        </is>
      </c>
    </row>
    <row r="4">
      <c r="A4" s="28" t="inlineStr">
        <is>
          <t>指標</t>
        </is>
      </c>
      <c r="B4" s="28" t="inlineStr">
        <is>
          <t>値</t>
        </is>
      </c>
      <c r="C4" s="28" t="inlineStr"/>
      <c r="E4" s="28" t="inlineStr">
        <is>
          <t>商品名</t>
        </is>
      </c>
      <c r="F4" s="28" t="inlineStr">
        <is>
          <t>売上 (円)</t>
        </is>
      </c>
      <c r="G4" s="28" t="inlineStr">
        <is>
          <t>販売数</t>
        </is>
      </c>
      <c r="H4" s="28" t="inlineStr">
        <is>
          <t>廃棄数</t>
        </is>
      </c>
      <c r="I4" s="28" t="inlineStr">
        <is>
          <t>粗利 (円)</t>
        </is>
      </c>
    </row>
    <row r="5" ht="18" customHeight="1">
      <c r="A5" s="29" t="inlineStr">
        <is>
          <t>総売上合計 (円)</t>
        </is>
      </c>
      <c r="B5" s="30">
        <f>IFERROR(SUM('01_売上入力'!G3:G200),0)</f>
        <v/>
      </c>
      <c r="C5" s="31" t="n"/>
      <c r="E5" s="32" t="inlineStr">
        <is>
          <t>食パン（1斤）</t>
        </is>
      </c>
      <c r="F5" s="7">
        <f>IFERROR(SUMIF('01_売上入力'!D:D,E5,'01_売上入力'!G:G),0)</f>
        <v/>
      </c>
      <c r="G5" s="20">
        <f>IFERROR(SUMIF('01_売上入力'!D:D,E5,'01_売上入力'!E:E),0)</f>
        <v/>
      </c>
      <c r="H5" s="20">
        <f>IFERROR(SUMIF('04_廃棄入力'!B:B,E5,'04_廃棄入力'!C:C),0)</f>
        <v/>
      </c>
      <c r="I5" s="7">
        <f>IFERROR(F5-XLOOKUP(E5,'02_商品マスタ'!B:B,'02_商品マスタ'!E:E,0)*H5,0)</f>
        <v/>
      </c>
    </row>
    <row r="6" ht="18" customHeight="1">
      <c r="A6" s="29" t="inlineStr">
        <is>
          <t>総販売個数</t>
        </is>
      </c>
      <c r="B6" s="33">
        <f>IFERROR(SUM('01_売上入力'!E3:E200),0)</f>
        <v/>
      </c>
      <c r="C6" s="31" t="n"/>
      <c r="E6" s="32" t="inlineStr">
        <is>
          <t>ベーグル（プレーン）</t>
        </is>
      </c>
      <c r="F6" s="7">
        <f>IFERROR(SUMIF('01_売上入力'!D:D,E6,'01_売上入力'!G:G),0)</f>
        <v/>
      </c>
      <c r="G6" s="20">
        <f>IFERROR(SUMIF('01_売上入力'!D:D,E6,'01_売上入力'!E:E),0)</f>
        <v/>
      </c>
      <c r="H6" s="20">
        <f>IFERROR(SUMIF('04_廃棄入力'!B:B,E6,'04_廃棄入力'!C:C),0)</f>
        <v/>
      </c>
      <c r="I6" s="7">
        <f>IFERROR(F6-XLOOKUP(E6,'02_商品マスタ'!B:B,'02_商品マスタ'!E:E,0)*H6,0)</f>
        <v/>
      </c>
    </row>
    <row r="7" ht="18" customHeight="1">
      <c r="A7" s="29" t="inlineStr">
        <is>
          <t>総廃棄金額 (円)</t>
        </is>
      </c>
      <c r="B7" s="30">
        <f>IFERROR(SUM('04_廃棄入力'!E3:E200),0)</f>
        <v/>
      </c>
      <c r="C7" s="31" t="n"/>
      <c r="E7" s="32" t="inlineStr">
        <is>
          <t>クロワッサン</t>
        </is>
      </c>
      <c r="F7" s="7">
        <f>IFERROR(SUMIF('01_売上入力'!D:D,E7,'01_売上入力'!G:G),0)</f>
        <v/>
      </c>
      <c r="G7" s="20">
        <f>IFERROR(SUMIF('01_売上入力'!D:D,E7,'01_売上入力'!E:E),0)</f>
        <v/>
      </c>
      <c r="H7" s="20">
        <f>IFERROR(SUMIF('04_廃棄入力'!B:B,E7,'04_廃棄入力'!C:C),0)</f>
        <v/>
      </c>
      <c r="I7" s="7">
        <f>IFERROR(F7-XLOOKUP(E7,'02_商品マスタ'!B:B,'02_商品マスタ'!E:E,0)*H7,0)</f>
        <v/>
      </c>
    </row>
    <row r="8" ht="18" customHeight="1">
      <c r="A8" s="29" t="inlineStr">
        <is>
          <t>総人件費 (円)</t>
        </is>
      </c>
      <c r="B8" s="30">
        <f>IFERROR(SUM('06_人件費'!G3:G200),0)</f>
        <v/>
      </c>
      <c r="C8" s="31" t="n"/>
      <c r="E8" s="32" t="inlineStr">
        <is>
          <t>カレーパン</t>
        </is>
      </c>
      <c r="F8" s="7">
        <f>IFERROR(SUMIF('01_売上入力'!D:D,E8,'01_売上入力'!G:G),0)</f>
        <v/>
      </c>
      <c r="G8" s="20">
        <f>IFERROR(SUMIF('01_売上入力'!D:D,E8,'01_売上入力'!E:E),0)</f>
        <v/>
      </c>
      <c r="H8" s="20">
        <f>IFERROR(SUMIF('04_廃棄入力'!B:B,E8,'04_廃棄入力'!C:C),0)</f>
        <v/>
      </c>
      <c r="I8" s="7">
        <f>IFERROR(F8-XLOOKUP(E8,'02_商品マスタ'!B:B,'02_商品マスタ'!E:E,0)*H8,0)</f>
        <v/>
      </c>
    </row>
    <row r="9" ht="18" customHeight="1">
      <c r="A9" s="29" t="inlineStr">
        <is>
          <t>粗利合計 (円)</t>
        </is>
      </c>
      <c r="B9" s="30">
        <f>IFERROR(B5-B7-B8,0)</f>
        <v/>
      </c>
      <c r="C9" s="31" t="n"/>
      <c r="E9" s="32" t="inlineStr">
        <is>
          <t>メロンパン</t>
        </is>
      </c>
      <c r="F9" s="7">
        <f>IFERROR(SUMIF('01_売上入力'!D:D,E9,'01_売上入力'!G:G),0)</f>
        <v/>
      </c>
      <c r="G9" s="20">
        <f>IFERROR(SUMIF('01_売上入力'!D:D,E9,'01_売上入力'!E:E),0)</f>
        <v/>
      </c>
      <c r="H9" s="20">
        <f>IFERROR(SUMIF('04_廃棄入力'!B:B,E9,'04_廃棄入力'!C:C),0)</f>
        <v/>
      </c>
      <c r="I9" s="7">
        <f>IFERROR(F9-XLOOKUP(E9,'02_商品マスタ'!B:B,'02_商品マスタ'!E:E,0)*H9,0)</f>
        <v/>
      </c>
    </row>
    <row r="10" ht="18" customHeight="1">
      <c r="A10" s="29" t="inlineStr">
        <is>
          <t>客単価 (円/人)</t>
        </is>
      </c>
      <c r="B10" s="33">
        <f>IFERROR(B5/SUM(日次サマリ!B3:B200),"-")</f>
        <v/>
      </c>
      <c r="C10" s="31" t="n"/>
      <c r="E10" s="32" t="inlineStr">
        <is>
          <t>チョコデニッシュ</t>
        </is>
      </c>
      <c r="F10" s="7">
        <f>IFERROR(SUMIF('01_売上入力'!D:D,E10,'01_売上入力'!G:G),0)</f>
        <v/>
      </c>
      <c r="G10" s="20">
        <f>IFERROR(SUMIF('01_売上入力'!D:D,E10,'01_売上入力'!E:E),0)</f>
        <v/>
      </c>
      <c r="H10" s="20">
        <f>IFERROR(SUMIF('04_廃棄入力'!B:B,E10,'04_廃棄入力'!C:C),0)</f>
        <v/>
      </c>
      <c r="I10" s="7">
        <f>IFERROR(F10-XLOOKUP(E10,'02_商品マスタ'!B:B,'02_商品マスタ'!E:E,0)*H10,0)</f>
        <v/>
      </c>
    </row>
    <row r="11" ht="18" customHeight="1">
      <c r="E11" s="32" t="inlineStr">
        <is>
          <t>バゲット</t>
        </is>
      </c>
      <c r="F11" s="7">
        <f>IFERROR(SUMIF('01_売上入力'!D:D,E11,'01_売上入力'!G:G),0)</f>
        <v/>
      </c>
      <c r="G11" s="20">
        <f>IFERROR(SUMIF('01_売上入力'!D:D,E11,'01_売上入力'!E:E),0)</f>
        <v/>
      </c>
      <c r="H11" s="20">
        <f>IFERROR(SUMIF('04_廃棄入力'!B:B,E11,'04_廃棄入力'!C:C),0)</f>
        <v/>
      </c>
      <c r="I11" s="7">
        <f>IFERROR(F11-XLOOKUP(E11,'02_商品マスタ'!B:B,'02_商品マスタ'!E:E,0)*H11,0)</f>
        <v/>
      </c>
    </row>
    <row r="12" ht="18" customHeight="1">
      <c r="E12" s="32" t="inlineStr">
        <is>
          <t>シナモンロール</t>
        </is>
      </c>
      <c r="F12" s="7">
        <f>IFERROR(SUMIF('01_売上入力'!D:D,E12,'01_売上入力'!G:G),0)</f>
        <v/>
      </c>
      <c r="G12" s="20">
        <f>IFERROR(SUMIF('01_売上入力'!D:D,E12,'01_売上入力'!E:E),0)</f>
        <v/>
      </c>
      <c r="H12" s="20">
        <f>IFERROR(SUMIF('04_廃棄入力'!B:B,E12,'04_廃棄入力'!C:C),0)</f>
        <v/>
      </c>
      <c r="I12" s="7">
        <f>IFERROR(F12-XLOOKUP(E12,'02_商品マスタ'!B:B,'02_商品マスタ'!E:E,0)*H12,0)</f>
        <v/>
      </c>
    </row>
    <row r="13">
      <c r="A13" s="27" t="inlineStr">
        <is>
          <t>■ 時間帯別売上</t>
        </is>
      </c>
    </row>
    <row r="14">
      <c r="A14" s="28" t="inlineStr">
        <is>
          <t>時間帯</t>
        </is>
      </c>
      <c r="B14" s="28" t="inlineStr">
        <is>
          <t>売上 (円)</t>
        </is>
      </c>
      <c r="C14" s="28" t="inlineStr">
        <is>
          <t>販売数</t>
        </is>
      </c>
    </row>
    <row r="15" ht="18" customHeight="1">
      <c r="A15" s="32" t="inlineStr">
        <is>
          <t>8-9</t>
        </is>
      </c>
      <c r="B15" s="7">
        <f>IFERROR(SUMIF('01_売上入力'!C:C,A15,'01_売上入力'!G:G),0)</f>
        <v/>
      </c>
      <c r="C15" s="20">
        <f>IFERROR(SUMIF('01_売上入力'!C:C,A15,'01_売上入力'!E:E),0)</f>
        <v/>
      </c>
    </row>
    <row r="16" ht="18" customHeight="1">
      <c r="A16" s="32" t="inlineStr">
        <is>
          <t>9-10</t>
        </is>
      </c>
      <c r="B16" s="7">
        <f>IFERROR(SUMIF('01_売上入力'!C:C,A16,'01_売上入力'!G:G),0)</f>
        <v/>
      </c>
      <c r="C16" s="20">
        <f>IFERROR(SUMIF('01_売上入力'!C:C,A16,'01_売上入力'!E:E),0)</f>
        <v/>
      </c>
    </row>
    <row r="17" ht="18" customHeight="1">
      <c r="A17" s="32" t="inlineStr">
        <is>
          <t>10-11</t>
        </is>
      </c>
      <c r="B17" s="7">
        <f>IFERROR(SUMIF('01_売上入力'!C:C,A17,'01_売上入力'!G:G),0)</f>
        <v/>
      </c>
      <c r="C17" s="20">
        <f>IFERROR(SUMIF('01_売上入力'!C:C,A17,'01_売上入力'!E:E),0)</f>
        <v/>
      </c>
    </row>
    <row r="18" ht="18" customHeight="1">
      <c r="A18" s="32" t="inlineStr">
        <is>
          <t>11-12</t>
        </is>
      </c>
      <c r="B18" s="7">
        <f>IFERROR(SUMIF('01_売上入力'!C:C,A18,'01_売上入力'!G:G),0)</f>
        <v/>
      </c>
      <c r="C18" s="20">
        <f>IFERROR(SUMIF('01_売上入力'!C:C,A18,'01_売上入力'!E:E),0)</f>
        <v/>
      </c>
    </row>
    <row r="19" ht="18" customHeight="1">
      <c r="A19" s="32" t="inlineStr">
        <is>
          <t>12-13</t>
        </is>
      </c>
      <c r="B19" s="7">
        <f>IFERROR(SUMIF('01_売上入力'!C:C,A19,'01_売上入力'!G:G),0)</f>
        <v/>
      </c>
      <c r="C19" s="20">
        <f>IFERROR(SUMIF('01_売上入力'!C:C,A19,'01_売上入力'!E:E),0)</f>
        <v/>
      </c>
    </row>
    <row r="20" ht="18" customHeight="1">
      <c r="A20" s="32" t="inlineStr">
        <is>
          <t>13-14</t>
        </is>
      </c>
      <c r="B20" s="7">
        <f>IFERROR(SUMIF('01_売上入力'!C:C,A20,'01_売上入力'!G:G),0)</f>
        <v/>
      </c>
      <c r="C20" s="20">
        <f>IFERROR(SUMIF('01_売上入力'!C:C,A20,'01_売上入力'!E:E),0)</f>
        <v/>
      </c>
    </row>
    <row r="21" ht="18" customHeight="1">
      <c r="A21" s="32" t="inlineStr">
        <is>
          <t>14-15</t>
        </is>
      </c>
      <c r="B21" s="7">
        <f>IFERROR(SUMIF('01_売上入力'!C:C,A21,'01_売上入力'!G:G),0)</f>
        <v/>
      </c>
      <c r="C21" s="20">
        <f>IFERROR(SUMIF('01_売上入力'!C:C,A21,'01_売上入力'!E:E),0)</f>
        <v/>
      </c>
    </row>
    <row r="22" ht="18" customHeight="1">
      <c r="A22" s="32" t="inlineStr">
        <is>
          <t>15-16</t>
        </is>
      </c>
      <c r="B22" s="7">
        <f>IFERROR(SUMIF('01_売上入力'!C:C,A22,'01_売上入力'!G:G),0)</f>
        <v/>
      </c>
      <c r="C22" s="20">
        <f>IFERROR(SUMIF('01_売上入力'!C:C,A22,'01_売上入力'!E:E),0)</f>
        <v/>
      </c>
    </row>
  </sheetData>
  <mergeCells count="4">
    <mergeCell ref="E3:I3"/>
    <mergeCell ref="A13:C13"/>
    <mergeCell ref="A3:C3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00B0F0"/>
    <outlinePr summaryBelow="1" summaryRight="1"/>
    <pageSetUpPr/>
  </sheetPr>
  <dimension ref="A1:F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6" customWidth="1" min="5" max="5"/>
    <col width="14" customWidth="1" min="6" max="6"/>
  </cols>
  <sheetData>
    <row r="1" ht="24" customHeight="1">
      <c r="A1" s="1" t="inlineStr">
        <is>
          <t>日次サマリ　―　日別：売上・客数・客単価・販売個数</t>
        </is>
      </c>
    </row>
    <row r="2">
      <c r="A2" s="34" t="inlineStr">
        <is>
          <t>日付</t>
        </is>
      </c>
      <c r="B2" s="35" t="inlineStr">
        <is>
          <t>客数（手入力）</t>
        </is>
      </c>
      <c r="C2" s="2" t="inlineStr">
        <is>
          <t>日売上 (円)</t>
        </is>
      </c>
      <c r="D2" s="2" t="inlineStr">
        <is>
          <t>販売個数</t>
        </is>
      </c>
      <c r="E2" s="36" t="inlineStr">
        <is>
          <t>客単価 (円/人)</t>
        </is>
      </c>
      <c r="F2" s="16" t="inlineStr">
        <is>
          <t>廃棄金額 (円)</t>
        </is>
      </c>
    </row>
    <row r="3" ht="18" customHeight="1">
      <c r="A3" s="37" t="n">
        <v>45444</v>
      </c>
      <c r="B3" s="38" t="n">
        <v>42</v>
      </c>
      <c r="C3" s="7">
        <f>IFERROR(SUMIFS('01_売上入力'!G:G,'01_売上入力'!A:A,A3),0)</f>
        <v/>
      </c>
      <c r="D3" s="20">
        <f>IFERROR(SUMIFS('01_売上入力'!E:E,'01_売上入力'!A:A,A3),0)</f>
        <v/>
      </c>
      <c r="E3" s="20">
        <f>IFERROR(IF(B3=0,"-",C3/B3),"-")</f>
        <v/>
      </c>
      <c r="F3" s="7">
        <f>IFERROR(SUMIFS('04_廃棄入力'!E:E,'04_廃棄入力'!A:A,A3),0)</f>
        <v/>
      </c>
    </row>
    <row r="4" ht="18" customHeight="1">
      <c r="A4" s="37" t="n">
        <v>45445</v>
      </c>
      <c r="B4" s="38" t="n">
        <v>38</v>
      </c>
      <c r="C4" s="7">
        <f>IFERROR(SUMIFS('01_売上入力'!G:G,'01_売上入力'!A:A,A4),0)</f>
        <v/>
      </c>
      <c r="D4" s="20">
        <f>IFERROR(SUMIFS('01_売上入力'!E:E,'01_売上入力'!A:A,A4),0)</f>
        <v/>
      </c>
      <c r="E4" s="20">
        <f>IFERROR(IF(B4=0,"-",C4/B4),"-")</f>
        <v/>
      </c>
      <c r="F4" s="7">
        <f>IFERROR(SUMIFS('04_廃棄入力'!E:E,'04_廃棄入力'!A:A,A4),0)</f>
        <v/>
      </c>
    </row>
    <row r="5" ht="18" customHeight="1">
      <c r="A5" s="37" t="n">
        <v>45446</v>
      </c>
      <c r="B5" s="38" t="n">
        <v>25</v>
      </c>
      <c r="C5" s="7">
        <f>IFERROR(SUMIFS('01_売上入力'!G:G,'01_売上入力'!A:A,A5),0)</f>
        <v/>
      </c>
      <c r="D5" s="20">
        <f>IFERROR(SUMIFS('01_売上入力'!E:E,'01_売上入力'!A:A,A5),0)</f>
        <v/>
      </c>
      <c r="E5" s="20">
        <f>IFERROR(IF(B5=0,"-",C5/B5),"-")</f>
        <v/>
      </c>
      <c r="F5" s="7">
        <f>IFERROR(SUMIFS('04_廃棄入力'!E:E,'04_廃棄入力'!A:A,A5),0)</f>
        <v/>
      </c>
    </row>
    <row r="6" ht="18" customHeight="1">
      <c r="A6" s="39" t="n"/>
      <c r="B6" s="40" t="n"/>
      <c r="C6" s="41">
        <f>IFERROR(SUMIFS('01_売上入力'!G:G,'01_売上入力'!A:A,A6),"")</f>
        <v/>
      </c>
      <c r="D6" s="42">
        <f>IFERROR(SUMIFS('01_売上入力'!E:E,'01_売上入力'!A:A,A6),"")</f>
        <v/>
      </c>
      <c r="E6" s="42">
        <f>IFERROR(IF(B6="","",IF(B6=0,"-",C6/B6)),"")</f>
        <v/>
      </c>
      <c r="F6" s="41">
        <f>IFERROR(SUMIFS('04_廃棄入力'!E:E,'04_廃棄入力'!A:A,A6),"")</f>
        <v/>
      </c>
    </row>
    <row r="7" ht="18" customHeight="1">
      <c r="A7" s="39" t="n"/>
      <c r="B7" s="40" t="n"/>
      <c r="C7" s="41">
        <f>IFERROR(SUMIFS('01_売上入力'!G:G,'01_売上入力'!A:A,A7),"")</f>
        <v/>
      </c>
      <c r="D7" s="42">
        <f>IFERROR(SUMIFS('01_売上入力'!E:E,'01_売上入力'!A:A,A7),"")</f>
        <v/>
      </c>
      <c r="E7" s="42">
        <f>IFERROR(IF(B7="","",IF(B7=0,"-",C7/B7)),"")</f>
        <v/>
      </c>
      <c r="F7" s="41">
        <f>IFERROR(SUMIFS('04_廃棄入力'!E:E,'04_廃棄入力'!A:A,A7),"")</f>
        <v/>
      </c>
    </row>
    <row r="8" ht="18" customHeight="1">
      <c r="A8" s="39" t="n"/>
      <c r="B8" s="40" t="n"/>
      <c r="C8" s="41">
        <f>IFERROR(SUMIFS('01_売上入力'!G:G,'01_売上入力'!A:A,A8),"")</f>
        <v/>
      </c>
      <c r="D8" s="42">
        <f>IFERROR(SUMIFS('01_売上入力'!E:E,'01_売上入力'!A:A,A8),"")</f>
        <v/>
      </c>
      <c r="E8" s="42">
        <f>IFERROR(IF(B8="","",IF(B8=0,"-",C8/B8)),"")</f>
        <v/>
      </c>
      <c r="F8" s="41">
        <f>IFERROR(SUMIFS('04_廃棄入力'!E:E,'04_廃棄入力'!A:A,A8),"")</f>
        <v/>
      </c>
    </row>
    <row r="9" ht="18" customHeight="1">
      <c r="A9" s="39" t="n"/>
      <c r="B9" s="40" t="n"/>
      <c r="C9" s="41">
        <f>IFERROR(SUMIFS('01_売上入力'!G:G,'01_売上入力'!A:A,A9),"")</f>
        <v/>
      </c>
      <c r="D9" s="42">
        <f>IFERROR(SUMIFS('01_売上入力'!E:E,'01_売上入力'!A:A,A9),"")</f>
        <v/>
      </c>
      <c r="E9" s="42">
        <f>IFERROR(IF(B9="","",IF(B9=0,"-",C9/B9)),"")</f>
        <v/>
      </c>
      <c r="F9" s="41">
        <f>IFERROR(SUMIFS('04_廃棄入力'!E:E,'04_廃棄入力'!A:A,A9),"")</f>
        <v/>
      </c>
    </row>
    <row r="10" ht="18" customHeight="1">
      <c r="A10" s="39" t="n"/>
      <c r="B10" s="40" t="n"/>
      <c r="C10" s="41">
        <f>IFERROR(SUMIFS('01_売上入力'!G:G,'01_売上入力'!A:A,A10),"")</f>
        <v/>
      </c>
      <c r="D10" s="42">
        <f>IFERROR(SUMIFS('01_売上入力'!E:E,'01_売上入力'!A:A,A10),"")</f>
        <v/>
      </c>
      <c r="E10" s="42">
        <f>IFERROR(IF(B10="","",IF(B10=0,"-",C10/B10)),"")</f>
        <v/>
      </c>
      <c r="F10" s="41">
        <f>IFERROR(SUMIFS('04_廃棄入力'!E:E,'04_廃棄入力'!A:A,A10),"")</f>
        <v/>
      </c>
    </row>
    <row r="11" ht="18" customHeight="1">
      <c r="A11" s="39" t="n"/>
      <c r="B11" s="40" t="n"/>
      <c r="C11" s="41">
        <f>IFERROR(SUMIFS('01_売上入力'!G:G,'01_売上入力'!A:A,A11),"")</f>
        <v/>
      </c>
      <c r="D11" s="42">
        <f>IFERROR(SUMIFS('01_売上入力'!E:E,'01_売上入力'!A:A,A11),"")</f>
        <v/>
      </c>
      <c r="E11" s="42">
        <f>IFERROR(IF(B11="","",IF(B11=0,"-",C11/B11)),"")</f>
        <v/>
      </c>
      <c r="F11" s="41">
        <f>IFERROR(SUMIFS('04_廃棄入力'!E:E,'04_廃棄入力'!A:A,A11),"")</f>
        <v/>
      </c>
    </row>
    <row r="12" ht="18" customHeight="1">
      <c r="A12" s="39" t="n"/>
      <c r="B12" s="40" t="n"/>
      <c r="C12" s="41">
        <f>IFERROR(SUMIFS('01_売上入力'!G:G,'01_売上入力'!A:A,A12),"")</f>
        <v/>
      </c>
      <c r="D12" s="42">
        <f>IFERROR(SUMIFS('01_売上入力'!E:E,'01_売上入力'!A:A,A12),"")</f>
        <v/>
      </c>
      <c r="E12" s="42">
        <f>IFERROR(IF(B12="","",IF(B12=0,"-",C12/B12)),"")</f>
        <v/>
      </c>
      <c r="F12" s="41">
        <f>IFERROR(SUMIFS('04_廃棄入力'!E:E,'04_廃棄入力'!A:A,A12),"")</f>
        <v/>
      </c>
    </row>
    <row r="13" ht="18" customHeight="1">
      <c r="A13" s="39" t="n"/>
      <c r="B13" s="40" t="n"/>
      <c r="C13" s="41">
        <f>IFERROR(SUMIFS('01_売上入力'!G:G,'01_売上入力'!A:A,A13),"")</f>
        <v/>
      </c>
      <c r="D13" s="42">
        <f>IFERROR(SUMIFS('01_売上入力'!E:E,'01_売上入力'!A:A,A13),"")</f>
        <v/>
      </c>
      <c r="E13" s="42">
        <f>IFERROR(IF(B13="","",IF(B13=0,"-",C13/B13)),"")</f>
        <v/>
      </c>
      <c r="F13" s="41">
        <f>IFERROR(SUMIFS('04_廃棄入力'!E:E,'04_廃棄入力'!A:A,A13),"")</f>
        <v/>
      </c>
    </row>
    <row r="14" ht="18" customHeight="1">
      <c r="A14" s="39" t="n"/>
      <c r="B14" s="40" t="n"/>
      <c r="C14" s="41">
        <f>IFERROR(SUMIFS('01_売上入力'!G:G,'01_売上入力'!A:A,A14),"")</f>
        <v/>
      </c>
      <c r="D14" s="42">
        <f>IFERROR(SUMIFS('01_売上入力'!E:E,'01_売上入力'!A:A,A14),"")</f>
        <v/>
      </c>
      <c r="E14" s="42">
        <f>IFERROR(IF(B14="","",IF(B14=0,"-",C14/B14)),"")</f>
        <v/>
      </c>
      <c r="F14" s="41">
        <f>IFERROR(SUMIFS('04_廃棄入力'!E:E,'04_廃棄入力'!A:A,A14),"")</f>
        <v/>
      </c>
    </row>
    <row r="15" ht="18" customHeight="1">
      <c r="A15" s="39" t="n"/>
      <c r="B15" s="40" t="n"/>
      <c r="C15" s="41">
        <f>IFERROR(SUMIFS('01_売上入力'!G:G,'01_売上入力'!A:A,A15),"")</f>
        <v/>
      </c>
      <c r="D15" s="42">
        <f>IFERROR(SUMIFS('01_売上入力'!E:E,'01_売上入力'!A:A,A15),"")</f>
        <v/>
      </c>
      <c r="E15" s="42">
        <f>IFERROR(IF(B15="","",IF(B15=0,"-",C15/B15)),"")</f>
        <v/>
      </c>
      <c r="F15" s="41">
        <f>IFERROR(SUMIFS('04_廃棄入力'!E:E,'04_廃棄入力'!A:A,A15),"")</f>
        <v/>
      </c>
    </row>
    <row r="16" ht="18" customHeight="1">
      <c r="A16" s="39" t="n"/>
      <c r="B16" s="40" t="n"/>
      <c r="C16" s="41">
        <f>IFERROR(SUMIFS('01_売上入力'!G:G,'01_売上入力'!A:A,A16),"")</f>
        <v/>
      </c>
      <c r="D16" s="42">
        <f>IFERROR(SUMIFS('01_売上入力'!E:E,'01_売上入力'!A:A,A16),"")</f>
        <v/>
      </c>
      <c r="E16" s="42">
        <f>IFERROR(IF(B16="","",IF(B16=0,"-",C16/B16)),"")</f>
        <v/>
      </c>
      <c r="F16" s="41">
        <f>IFERROR(SUMIFS('04_廃棄入力'!E:E,'04_廃棄入力'!A:A,A16),"")</f>
        <v/>
      </c>
    </row>
    <row r="17" ht="18" customHeight="1">
      <c r="A17" s="39" t="n"/>
      <c r="B17" s="40" t="n"/>
      <c r="C17" s="41">
        <f>IFERROR(SUMIFS('01_売上入力'!G:G,'01_売上入力'!A:A,A17),"")</f>
        <v/>
      </c>
      <c r="D17" s="42">
        <f>IFERROR(SUMIFS('01_売上入力'!E:E,'01_売上入力'!A:A,A17),"")</f>
        <v/>
      </c>
      <c r="E17" s="42">
        <f>IFERROR(IF(B17="","",IF(B17=0,"-",C17/B17)),"")</f>
        <v/>
      </c>
      <c r="F17" s="41">
        <f>IFERROR(SUMIFS('04_廃棄入力'!E:E,'04_廃棄入力'!A:A,A17),"")</f>
        <v/>
      </c>
    </row>
    <row r="18" ht="18" customHeight="1">
      <c r="A18" s="39" t="n"/>
      <c r="B18" s="40" t="n"/>
      <c r="C18" s="41">
        <f>IFERROR(SUMIFS('01_売上入力'!G:G,'01_売上入力'!A:A,A18),"")</f>
        <v/>
      </c>
      <c r="D18" s="42">
        <f>IFERROR(SUMIFS('01_売上入力'!E:E,'01_売上入力'!A:A,A18),"")</f>
        <v/>
      </c>
      <c r="E18" s="42">
        <f>IFERROR(IF(B18="","",IF(B18=0,"-",C18/B18)),"")</f>
        <v/>
      </c>
      <c r="F18" s="41">
        <f>IFERROR(SUMIFS('04_廃棄入力'!E:E,'04_廃棄入力'!A:A,A18),"")</f>
        <v/>
      </c>
    </row>
    <row r="19" ht="18" customHeight="1">
      <c r="A19" s="39" t="n"/>
      <c r="B19" s="40" t="n"/>
      <c r="C19" s="41">
        <f>IFERROR(SUMIFS('01_売上入力'!G:G,'01_売上入力'!A:A,A19),"")</f>
        <v/>
      </c>
      <c r="D19" s="42">
        <f>IFERROR(SUMIFS('01_売上入力'!E:E,'01_売上入力'!A:A,A19),"")</f>
        <v/>
      </c>
      <c r="E19" s="42">
        <f>IFERROR(IF(B19="","",IF(B19=0,"-",C19/B19)),"")</f>
        <v/>
      </c>
      <c r="F19" s="41">
        <f>IFERROR(SUMIFS('04_廃棄入力'!E:E,'04_廃棄入力'!A:A,A19),"")</f>
        <v/>
      </c>
    </row>
    <row r="20" ht="18" customHeight="1">
      <c r="A20" s="39" t="n"/>
      <c r="B20" s="40" t="n"/>
      <c r="C20" s="41">
        <f>IFERROR(SUMIFS('01_売上入力'!G:G,'01_売上入力'!A:A,A20),"")</f>
        <v/>
      </c>
      <c r="D20" s="42">
        <f>IFERROR(SUMIFS('01_売上入力'!E:E,'01_売上入力'!A:A,A20),"")</f>
        <v/>
      </c>
      <c r="E20" s="42">
        <f>IFERROR(IF(B20="","",IF(B20=0,"-",C20/B20)),"")</f>
        <v/>
      </c>
      <c r="F20" s="41">
        <f>IFERROR(SUMIFS('04_廃棄入力'!E:E,'04_廃棄入力'!A:A,A20),"")</f>
        <v/>
      </c>
    </row>
    <row r="21" ht="18" customHeight="1">
      <c r="A21" s="39" t="n"/>
      <c r="B21" s="40" t="n"/>
      <c r="C21" s="41">
        <f>IFERROR(SUMIFS('01_売上入力'!G:G,'01_売上入力'!A:A,A21),"")</f>
        <v/>
      </c>
      <c r="D21" s="42">
        <f>IFERROR(SUMIFS('01_売上入力'!E:E,'01_売上入力'!A:A,A21),"")</f>
        <v/>
      </c>
      <c r="E21" s="42">
        <f>IFERROR(IF(B21="","",IF(B21=0,"-",C21/B21)),"")</f>
        <v/>
      </c>
      <c r="F21" s="41">
        <f>IFERROR(SUMIFS('04_廃棄入力'!E:E,'04_廃棄入力'!A:A,A21),"")</f>
        <v/>
      </c>
    </row>
    <row r="22" ht="18" customHeight="1">
      <c r="A22" s="39" t="n"/>
      <c r="B22" s="40" t="n"/>
      <c r="C22" s="41">
        <f>IFERROR(SUMIFS('01_売上入力'!G:G,'01_売上入力'!A:A,A22),"")</f>
        <v/>
      </c>
      <c r="D22" s="42">
        <f>IFERROR(SUMIFS('01_売上入力'!E:E,'01_売上入力'!A:A,A22),"")</f>
        <v/>
      </c>
      <c r="E22" s="42">
        <f>IFERROR(IF(B22="","",IF(B22=0,"-",C22/B22)),"")</f>
        <v/>
      </c>
      <c r="F22" s="41">
        <f>IFERROR(SUMIFS('04_廃棄入力'!E:E,'04_廃棄入力'!A:A,A22),"")</f>
        <v/>
      </c>
    </row>
    <row r="23" ht="18" customHeight="1">
      <c r="A23" s="39" t="n"/>
      <c r="B23" s="40" t="n"/>
      <c r="C23" s="41">
        <f>IFERROR(SUMIFS('01_売上入力'!G:G,'01_売上入力'!A:A,A23),"")</f>
        <v/>
      </c>
      <c r="D23" s="42">
        <f>IFERROR(SUMIFS('01_売上入力'!E:E,'01_売上入力'!A:A,A23),"")</f>
        <v/>
      </c>
      <c r="E23" s="42">
        <f>IFERROR(IF(B23="","",IF(B23=0,"-",C23/B23)),"")</f>
        <v/>
      </c>
      <c r="F23" s="41">
        <f>IFERROR(SUMIFS('04_廃棄入力'!E:E,'04_廃棄入力'!A:A,A23),"")</f>
        <v/>
      </c>
    </row>
    <row r="24" ht="18" customHeight="1">
      <c r="A24" s="39" t="n"/>
      <c r="B24" s="40" t="n"/>
      <c r="C24" s="41">
        <f>IFERROR(SUMIFS('01_売上入力'!G:G,'01_売上入力'!A:A,A24),"")</f>
        <v/>
      </c>
      <c r="D24" s="42">
        <f>IFERROR(SUMIFS('01_売上入力'!E:E,'01_売上入力'!A:A,A24),"")</f>
        <v/>
      </c>
      <c r="E24" s="42">
        <f>IFERROR(IF(B24="","",IF(B24=0,"-",C24/B24)),"")</f>
        <v/>
      </c>
      <c r="F24" s="41">
        <f>IFERROR(SUMIFS('04_廃棄入力'!E:E,'04_廃棄入力'!A:A,A24),"")</f>
        <v/>
      </c>
    </row>
    <row r="25" ht="18" customHeight="1">
      <c r="A25" s="39" t="n"/>
      <c r="B25" s="40" t="n"/>
      <c r="C25" s="41">
        <f>IFERROR(SUMIFS('01_売上入力'!G:G,'01_売上入力'!A:A,A25),"")</f>
        <v/>
      </c>
      <c r="D25" s="42">
        <f>IFERROR(SUMIFS('01_売上入力'!E:E,'01_売上入力'!A:A,A25),"")</f>
        <v/>
      </c>
      <c r="E25" s="42">
        <f>IFERROR(IF(B25="","",IF(B25=0,"-",C25/B25)),"")</f>
        <v/>
      </c>
      <c r="F25" s="41">
        <f>IFERROR(SUMIFS('04_廃棄入力'!E:E,'04_廃棄入力'!A:A,A25),"")</f>
        <v/>
      </c>
    </row>
    <row r="26" ht="18" customHeight="1">
      <c r="A26" s="39" t="n"/>
      <c r="B26" s="40" t="n"/>
      <c r="C26" s="41">
        <f>IFERROR(SUMIFS('01_売上入力'!G:G,'01_売上入力'!A:A,A26),"")</f>
        <v/>
      </c>
      <c r="D26" s="42">
        <f>IFERROR(SUMIFS('01_売上入力'!E:E,'01_売上入力'!A:A,A26),"")</f>
        <v/>
      </c>
      <c r="E26" s="42">
        <f>IFERROR(IF(B26="","",IF(B26=0,"-",C26/B26)),"")</f>
        <v/>
      </c>
      <c r="F26" s="41">
        <f>IFERROR(SUMIFS('04_廃棄入力'!E:E,'04_廃棄入力'!A:A,A26),"")</f>
        <v/>
      </c>
    </row>
    <row r="27" ht="18" customHeight="1">
      <c r="A27" s="39" t="n"/>
      <c r="B27" s="40" t="n"/>
      <c r="C27" s="41">
        <f>IFERROR(SUMIFS('01_売上入力'!G:G,'01_売上入力'!A:A,A27),"")</f>
        <v/>
      </c>
      <c r="D27" s="42">
        <f>IFERROR(SUMIFS('01_売上入力'!E:E,'01_売上入力'!A:A,A27),"")</f>
        <v/>
      </c>
      <c r="E27" s="42">
        <f>IFERROR(IF(B27="","",IF(B27=0,"-",C27/B27)),"")</f>
        <v/>
      </c>
      <c r="F27" s="41">
        <f>IFERROR(SUMIFS('04_廃棄入力'!E:E,'04_廃棄入力'!A:A,A27),"")</f>
        <v/>
      </c>
    </row>
    <row r="28" ht="18" customHeight="1">
      <c r="A28" s="39" t="n"/>
      <c r="B28" s="40" t="n"/>
      <c r="C28" s="41">
        <f>IFERROR(SUMIFS('01_売上入力'!G:G,'01_売上入力'!A:A,A28),"")</f>
        <v/>
      </c>
      <c r="D28" s="42">
        <f>IFERROR(SUMIFS('01_売上入力'!E:E,'01_売上入力'!A:A,A28),"")</f>
        <v/>
      </c>
      <c r="E28" s="42">
        <f>IFERROR(IF(B28="","",IF(B28=0,"-",C28/B28)),"")</f>
        <v/>
      </c>
      <c r="F28" s="41">
        <f>IFERROR(SUMIFS('04_廃棄入力'!E:E,'04_廃棄入力'!A:A,A28),"")</f>
        <v/>
      </c>
    </row>
    <row r="29" ht="18" customHeight="1">
      <c r="A29" s="39" t="n"/>
      <c r="B29" s="40" t="n"/>
      <c r="C29" s="41">
        <f>IFERROR(SUMIFS('01_売上入力'!G:G,'01_売上入力'!A:A,A29),"")</f>
        <v/>
      </c>
      <c r="D29" s="42">
        <f>IFERROR(SUMIFS('01_売上入力'!E:E,'01_売上入力'!A:A,A29),"")</f>
        <v/>
      </c>
      <c r="E29" s="42">
        <f>IFERROR(IF(B29="","",IF(B29=0,"-",C29/B29)),"")</f>
        <v/>
      </c>
      <c r="F29" s="41">
        <f>IFERROR(SUMIFS('04_廃棄入力'!E:E,'04_廃棄入力'!A:A,A29),"")</f>
        <v/>
      </c>
    </row>
    <row r="30" ht="18" customHeight="1">
      <c r="A30" s="39" t="n"/>
      <c r="B30" s="40" t="n"/>
      <c r="C30" s="41">
        <f>IFERROR(SUMIFS('01_売上入力'!G:G,'01_売上入力'!A:A,A30),"")</f>
        <v/>
      </c>
      <c r="D30" s="42">
        <f>IFERROR(SUMIFS('01_売上入力'!E:E,'01_売上入力'!A:A,A30),"")</f>
        <v/>
      </c>
      <c r="E30" s="42">
        <f>IFERROR(IF(B30="","",IF(B30=0,"-",C30/B30)),"")</f>
        <v/>
      </c>
      <c r="F30" s="41">
        <f>IFERROR(SUMIFS('04_廃棄入力'!E:E,'04_廃棄入力'!A:A,A30),"")</f>
        <v/>
      </c>
    </row>
    <row r="31" ht="18" customHeight="1">
      <c r="A31" s="39" t="n"/>
      <c r="B31" s="40" t="n"/>
      <c r="C31" s="41">
        <f>IFERROR(SUMIFS('01_売上入力'!G:G,'01_売上入力'!A:A,A31),"")</f>
        <v/>
      </c>
      <c r="D31" s="42">
        <f>IFERROR(SUMIFS('01_売上入力'!E:E,'01_売上入力'!A:A,A31),"")</f>
        <v/>
      </c>
      <c r="E31" s="42">
        <f>IFERROR(IF(B31="","",IF(B31=0,"-",C31/B31)),"")</f>
        <v/>
      </c>
      <c r="F31" s="41">
        <f>IFERROR(SUMIFS('04_廃棄入力'!E:E,'04_廃棄入力'!A:A,A31),"")</f>
        <v/>
      </c>
    </row>
    <row r="32" ht="18" customHeight="1">
      <c r="A32" s="39" t="n"/>
      <c r="B32" s="40" t="n"/>
      <c r="C32" s="41">
        <f>IFERROR(SUMIFS('01_売上入力'!G:G,'01_売上入力'!A:A,A32),"")</f>
        <v/>
      </c>
      <c r="D32" s="42">
        <f>IFERROR(SUMIFS('01_売上入力'!E:E,'01_売上入力'!A:A,A32),"")</f>
        <v/>
      </c>
      <c r="E32" s="42">
        <f>IFERROR(IF(B32="","",IF(B32=0,"-",C32/B32)),"")</f>
        <v/>
      </c>
      <c r="F32" s="41">
        <f>IFERROR(SUMIFS('04_廃棄入力'!E:E,'04_廃棄入力'!A:A,A32),"")</f>
        <v/>
      </c>
    </row>
    <row r="33" ht="18" customHeight="1">
      <c r="A33" s="39" t="n"/>
      <c r="B33" s="40" t="n"/>
      <c r="C33" s="41">
        <f>IFERROR(SUMIFS('01_売上入力'!G:G,'01_売上入力'!A:A,A33),"")</f>
        <v/>
      </c>
      <c r="D33" s="42">
        <f>IFERROR(SUMIFS('01_売上入力'!E:E,'01_売上入力'!A:A,A33),"")</f>
        <v/>
      </c>
      <c r="E33" s="42">
        <f>IFERROR(IF(B33="","",IF(B33=0,"-",C33/B33)),"")</f>
        <v/>
      </c>
      <c r="F33" s="41">
        <f>IFERROR(SUMIFS('04_廃棄入力'!E:E,'04_廃棄入力'!A:A,A33),"")</f>
        <v/>
      </c>
    </row>
    <row r="34" ht="18" customHeight="1">
      <c r="A34" s="39" t="n"/>
      <c r="B34" s="40" t="n"/>
      <c r="C34" s="41">
        <f>IFERROR(SUMIFS('01_売上入力'!G:G,'01_売上入力'!A:A,A34),"")</f>
        <v/>
      </c>
      <c r="D34" s="42">
        <f>IFERROR(SUMIFS('01_売上入力'!E:E,'01_売上入力'!A:A,A34),"")</f>
        <v/>
      </c>
      <c r="E34" s="42">
        <f>IFERROR(IF(B34="","",IF(B34=0,"-",C34/B34)),"")</f>
        <v/>
      </c>
      <c r="F34" s="41">
        <f>IFERROR(SUMIFS('04_廃棄入力'!E:E,'04_廃棄入力'!A:A,A34),"")</f>
        <v/>
      </c>
    </row>
    <row r="35" ht="18" customHeight="1">
      <c r="A35" s="39" t="n"/>
      <c r="B35" s="40" t="n"/>
      <c r="C35" s="41">
        <f>IFERROR(SUMIFS('01_売上入力'!G:G,'01_売上入力'!A:A,A35),"")</f>
        <v/>
      </c>
      <c r="D35" s="42">
        <f>IFERROR(SUMIFS('01_売上入力'!E:E,'01_売上入力'!A:A,A35),"")</f>
        <v/>
      </c>
      <c r="E35" s="42">
        <f>IFERROR(IF(B35="","",IF(B35=0,"-",C35/B35)),"")</f>
        <v/>
      </c>
      <c r="F35" s="41">
        <f>IFERROR(SUMIFS('04_廃棄入力'!E:E,'04_廃棄入力'!A:A,A35),"")</f>
        <v/>
      </c>
    </row>
    <row r="36" ht="18" customHeight="1">
      <c r="A36" s="39" t="n"/>
      <c r="B36" s="40" t="n"/>
      <c r="C36" s="41">
        <f>IFERROR(SUMIFS('01_売上入力'!G:G,'01_売上入力'!A:A,A36),"")</f>
        <v/>
      </c>
      <c r="D36" s="42">
        <f>IFERROR(SUMIFS('01_売上入力'!E:E,'01_売上入力'!A:A,A36),"")</f>
        <v/>
      </c>
      <c r="E36" s="42">
        <f>IFERROR(IF(B36="","",IF(B36=0,"-",C36/B36)),"")</f>
        <v/>
      </c>
      <c r="F36" s="41">
        <f>IFERROR(SUMIFS('04_廃棄入力'!E:E,'04_廃棄入力'!A:A,A36),"")</f>
        <v/>
      </c>
    </row>
    <row r="37" ht="18" customHeight="1">
      <c r="A37" s="39" t="n"/>
      <c r="B37" s="40" t="n"/>
      <c r="C37" s="41">
        <f>IFERROR(SUMIFS('01_売上入力'!G:G,'01_売上入力'!A:A,A37),"")</f>
        <v/>
      </c>
      <c r="D37" s="42">
        <f>IFERROR(SUMIFS('01_売上入力'!E:E,'01_売上入力'!A:A,A37),"")</f>
        <v/>
      </c>
      <c r="E37" s="42">
        <f>IFERROR(IF(B37="","",IF(B37=0,"-",C37/B37)),"")</f>
        <v/>
      </c>
      <c r="F37" s="41">
        <f>IFERROR(SUMIFS('04_廃棄入力'!E:E,'04_廃棄入力'!A:A,A37),"")</f>
        <v/>
      </c>
    </row>
    <row r="38" ht="18" customHeight="1">
      <c r="A38" s="39" t="n"/>
      <c r="B38" s="40" t="n"/>
      <c r="C38" s="41">
        <f>IFERROR(SUMIFS('01_売上入力'!G:G,'01_売上入力'!A:A,A38),"")</f>
        <v/>
      </c>
      <c r="D38" s="42">
        <f>IFERROR(SUMIFS('01_売上入力'!E:E,'01_売上入力'!A:A,A38),"")</f>
        <v/>
      </c>
      <c r="E38" s="42">
        <f>IFERROR(IF(B38="","",IF(B38=0,"-",C38/B38)),"")</f>
        <v/>
      </c>
      <c r="F38" s="41">
        <f>IFERROR(SUMIFS('04_廃棄入力'!E:E,'04_廃棄入力'!A:A,A38),"")</f>
        <v/>
      </c>
    </row>
    <row r="39" ht="18" customHeight="1">
      <c r="A39" s="39" t="n"/>
      <c r="B39" s="40" t="n"/>
      <c r="C39" s="41">
        <f>IFERROR(SUMIFS('01_売上入力'!G:G,'01_売上入力'!A:A,A39),"")</f>
        <v/>
      </c>
      <c r="D39" s="42">
        <f>IFERROR(SUMIFS('01_売上入力'!E:E,'01_売上入力'!A:A,A39),"")</f>
        <v/>
      </c>
      <c r="E39" s="42">
        <f>IFERROR(IF(B39="","",IF(B39=0,"-",C39/B39)),"")</f>
        <v/>
      </c>
      <c r="F39" s="41">
        <f>IFERROR(SUMIFS('04_廃棄入力'!E:E,'04_廃棄入力'!A:A,A39),"")</f>
        <v/>
      </c>
    </row>
    <row r="40" ht="18" customHeight="1">
      <c r="A40" s="39" t="n"/>
      <c r="B40" s="40" t="n"/>
      <c r="C40" s="41">
        <f>IFERROR(SUMIFS('01_売上入力'!G:G,'01_売上入力'!A:A,A40),"")</f>
        <v/>
      </c>
      <c r="D40" s="42">
        <f>IFERROR(SUMIFS('01_売上入力'!E:E,'01_売上入力'!A:A,A40),"")</f>
        <v/>
      </c>
      <c r="E40" s="42">
        <f>IFERROR(IF(B40="","",IF(B40=0,"-",C40/B40)),"")</f>
        <v/>
      </c>
      <c r="F40" s="41">
        <f>IFERROR(SUMIFS('04_廃棄入力'!E:E,'04_廃棄入力'!A:A,A40),"")</f>
        <v/>
      </c>
    </row>
    <row r="41" ht="18" customHeight="1">
      <c r="A41" s="39" t="n"/>
      <c r="B41" s="40" t="n"/>
      <c r="C41" s="41">
        <f>IFERROR(SUMIFS('01_売上入力'!G:G,'01_売上入力'!A:A,A41),"")</f>
        <v/>
      </c>
      <c r="D41" s="42">
        <f>IFERROR(SUMIFS('01_売上入力'!E:E,'01_売上入力'!A:A,A41),"")</f>
        <v/>
      </c>
      <c r="E41" s="42">
        <f>IFERROR(IF(B41="","",IF(B41=0,"-",C41/B41)),"")</f>
        <v/>
      </c>
      <c r="F41" s="41">
        <f>IFERROR(SUMIFS('04_廃棄入力'!E:E,'04_廃棄入力'!A:A,A41),"")</f>
        <v/>
      </c>
    </row>
    <row r="42" ht="18" customHeight="1">
      <c r="A42" s="39" t="n"/>
      <c r="B42" s="40" t="n"/>
      <c r="C42" s="41">
        <f>IFERROR(SUMIFS('01_売上入力'!G:G,'01_売上入力'!A:A,A42),"")</f>
        <v/>
      </c>
      <c r="D42" s="42">
        <f>IFERROR(SUMIFS('01_売上入力'!E:E,'01_売上入力'!A:A,A42),"")</f>
        <v/>
      </c>
      <c r="E42" s="42">
        <f>IFERROR(IF(B42="","",IF(B42=0,"-",C42/B42)),"")</f>
        <v/>
      </c>
      <c r="F42" s="41">
        <f>IFERROR(SUMIFS('04_廃棄入力'!E:E,'04_廃棄入力'!A:A,A42),"")</f>
        <v/>
      </c>
    </row>
    <row r="43" ht="18" customHeight="1">
      <c r="A43" s="39" t="n"/>
      <c r="B43" s="40" t="n"/>
      <c r="C43" s="41">
        <f>IFERROR(SUMIFS('01_売上入力'!G:G,'01_売上入力'!A:A,A43),"")</f>
        <v/>
      </c>
      <c r="D43" s="42">
        <f>IFERROR(SUMIFS('01_売上入力'!E:E,'01_売上入力'!A:A,A43),"")</f>
        <v/>
      </c>
      <c r="E43" s="42">
        <f>IFERROR(IF(B43="","",IF(B43=0,"-",C43/B43)),"")</f>
        <v/>
      </c>
      <c r="F43" s="41">
        <f>IFERROR(SUMIFS('04_廃棄入力'!E:E,'04_廃棄入力'!A:A,A43),"")</f>
        <v/>
      </c>
    </row>
    <row r="44" ht="18" customHeight="1">
      <c r="A44" s="39" t="n"/>
      <c r="B44" s="40" t="n"/>
      <c r="C44" s="41">
        <f>IFERROR(SUMIFS('01_売上入力'!G:G,'01_売上入力'!A:A,A44),"")</f>
        <v/>
      </c>
      <c r="D44" s="42">
        <f>IFERROR(SUMIFS('01_売上入力'!E:E,'01_売上入力'!A:A,A44),"")</f>
        <v/>
      </c>
      <c r="E44" s="42">
        <f>IFERROR(IF(B44="","",IF(B44=0,"-",C44/B44)),"")</f>
        <v/>
      </c>
      <c r="F44" s="41">
        <f>IFERROR(SUMIFS('04_廃棄入力'!E:E,'04_廃棄入力'!A:A,A44),"")</f>
        <v/>
      </c>
    </row>
    <row r="45" ht="18" customHeight="1">
      <c r="A45" s="39" t="n"/>
      <c r="B45" s="40" t="n"/>
      <c r="C45" s="41">
        <f>IFERROR(SUMIFS('01_売上入力'!G:G,'01_売上入力'!A:A,A45),"")</f>
        <v/>
      </c>
      <c r="D45" s="42">
        <f>IFERROR(SUMIFS('01_売上入力'!E:E,'01_売上入力'!A:A,A45),"")</f>
        <v/>
      </c>
      <c r="E45" s="42">
        <f>IFERROR(IF(B45="","",IF(B45=0,"-",C45/B45)),"")</f>
        <v/>
      </c>
      <c r="F45" s="41">
        <f>IFERROR(SUMIFS('04_廃棄入力'!E:E,'04_廃棄入力'!A:A,A45),"")</f>
        <v/>
      </c>
    </row>
    <row r="46" ht="18" customHeight="1">
      <c r="A46" s="39" t="n"/>
      <c r="B46" s="40" t="n"/>
      <c r="C46" s="41">
        <f>IFERROR(SUMIFS('01_売上入力'!G:G,'01_売上入力'!A:A,A46),"")</f>
        <v/>
      </c>
      <c r="D46" s="42">
        <f>IFERROR(SUMIFS('01_売上入力'!E:E,'01_売上入力'!A:A,A46),"")</f>
        <v/>
      </c>
      <c r="E46" s="42">
        <f>IFERROR(IF(B46="","",IF(B46=0,"-",C46/B46)),"")</f>
        <v/>
      </c>
      <c r="F46" s="41">
        <f>IFERROR(SUMIFS('04_廃棄入力'!E:E,'04_廃棄入力'!A:A,A46),"")</f>
        <v/>
      </c>
    </row>
    <row r="47" ht="18" customHeight="1">
      <c r="A47" s="39" t="n"/>
      <c r="B47" s="40" t="n"/>
      <c r="C47" s="41">
        <f>IFERROR(SUMIFS('01_売上入力'!G:G,'01_売上入力'!A:A,A47),"")</f>
        <v/>
      </c>
      <c r="D47" s="42">
        <f>IFERROR(SUMIFS('01_売上入力'!E:E,'01_売上入力'!A:A,A47),"")</f>
        <v/>
      </c>
      <c r="E47" s="42">
        <f>IFERROR(IF(B47="","",IF(B47=0,"-",C47/B47)),"")</f>
        <v/>
      </c>
      <c r="F47" s="41">
        <f>IFERROR(SUMIFS('04_廃棄入力'!E:E,'04_廃棄入力'!A:A,A47),"")</f>
        <v/>
      </c>
    </row>
    <row r="48" ht="18" customHeight="1">
      <c r="A48" s="39" t="n"/>
      <c r="B48" s="40" t="n"/>
      <c r="C48" s="41">
        <f>IFERROR(SUMIFS('01_売上入力'!G:G,'01_売上入力'!A:A,A48),"")</f>
        <v/>
      </c>
      <c r="D48" s="42">
        <f>IFERROR(SUMIFS('01_売上入力'!E:E,'01_売上入力'!A:A,A48),"")</f>
        <v/>
      </c>
      <c r="E48" s="42">
        <f>IFERROR(IF(B48="","",IF(B48=0,"-",C48/B48)),"")</f>
        <v/>
      </c>
      <c r="F48" s="41">
        <f>IFERROR(SUMIFS('04_廃棄入力'!E:E,'04_廃棄入力'!A:A,A48),"")</f>
        <v/>
      </c>
    </row>
    <row r="49" ht="18" customHeight="1">
      <c r="A49" s="39" t="n"/>
      <c r="B49" s="40" t="n"/>
      <c r="C49" s="41">
        <f>IFERROR(SUMIFS('01_売上入力'!G:G,'01_売上入力'!A:A,A49),"")</f>
        <v/>
      </c>
      <c r="D49" s="42">
        <f>IFERROR(SUMIFS('01_売上入力'!E:E,'01_売上入力'!A:A,A49),"")</f>
        <v/>
      </c>
      <c r="E49" s="42">
        <f>IFERROR(IF(B49="","",IF(B49=0,"-",C49/B49)),"")</f>
        <v/>
      </c>
      <c r="F49" s="41">
        <f>IFERROR(SUMIFS('04_廃棄入力'!E:E,'04_廃棄入力'!A:A,A49),"")</f>
        <v/>
      </c>
    </row>
    <row r="50" ht="18" customHeight="1">
      <c r="A50" s="39" t="n"/>
      <c r="B50" s="40" t="n"/>
      <c r="C50" s="41">
        <f>IFERROR(SUMIFS('01_売上入力'!G:G,'01_売上入力'!A:A,A50),"")</f>
        <v/>
      </c>
      <c r="D50" s="42">
        <f>IFERROR(SUMIFS('01_売上入力'!E:E,'01_売上入力'!A:A,A50),"")</f>
        <v/>
      </c>
      <c r="E50" s="42">
        <f>IFERROR(IF(B50="","",IF(B50=0,"-",C50/B50)),"")</f>
        <v/>
      </c>
      <c r="F50" s="41">
        <f>IFERROR(SUMIFS('04_廃棄入力'!E:E,'04_廃棄入力'!A:A,A50),"")</f>
        <v/>
      </c>
    </row>
    <row r="51" ht="18" customHeight="1">
      <c r="A51" s="39" t="n"/>
      <c r="B51" s="40" t="n"/>
      <c r="C51" s="41">
        <f>IFERROR(SUMIFS('01_売上入力'!G:G,'01_売上入力'!A:A,A51),"")</f>
        <v/>
      </c>
      <c r="D51" s="42">
        <f>IFERROR(SUMIFS('01_売上入力'!E:E,'01_売上入力'!A:A,A51),"")</f>
        <v/>
      </c>
      <c r="E51" s="42">
        <f>IFERROR(IF(B51="","",IF(B51=0,"-",C51/B51)),"")</f>
        <v/>
      </c>
      <c r="F51" s="41">
        <f>IFERROR(SUMIFS('04_廃棄入力'!E:E,'04_廃棄入力'!A:A,A51),"")</f>
        <v/>
      </c>
    </row>
    <row r="52" ht="18" customHeight="1">
      <c r="A52" s="39" t="n"/>
      <c r="B52" s="40" t="n"/>
      <c r="C52" s="41">
        <f>IFERROR(SUMIFS('01_売上入力'!G:G,'01_売上入力'!A:A,A52),"")</f>
        <v/>
      </c>
      <c r="D52" s="42">
        <f>IFERROR(SUMIFS('01_売上入力'!E:E,'01_売上入力'!A:A,A52),"")</f>
        <v/>
      </c>
      <c r="E52" s="42">
        <f>IFERROR(IF(B52="","",IF(B52=0,"-",C52/B52)),"")</f>
        <v/>
      </c>
      <c r="F52" s="41">
        <f>IFERROR(SUMIFS('04_廃棄入力'!E:E,'04_廃棄入力'!A:A,A52),"")</f>
        <v/>
      </c>
    </row>
    <row r="53" ht="18" customHeight="1">
      <c r="A53" s="39" t="n"/>
      <c r="B53" s="40" t="n"/>
      <c r="C53" s="41">
        <f>IFERROR(SUMIFS('01_売上入力'!G:G,'01_売上入力'!A:A,A53),"")</f>
        <v/>
      </c>
      <c r="D53" s="42">
        <f>IFERROR(SUMIFS('01_売上入力'!E:E,'01_売上入力'!A:A,A53),"")</f>
        <v/>
      </c>
      <c r="E53" s="42">
        <f>IFERROR(IF(B53="","",IF(B53=0,"-",C53/B53)),"")</f>
        <v/>
      </c>
      <c r="F53" s="41">
        <f>IFERROR(SUMIFS('04_廃棄入力'!E:E,'04_廃棄入力'!A:A,A53),"")</f>
        <v/>
      </c>
    </row>
    <row r="54" ht="18" customHeight="1">
      <c r="A54" s="39" t="n"/>
      <c r="B54" s="40" t="n"/>
      <c r="C54" s="41">
        <f>IFERROR(SUMIFS('01_売上入力'!G:G,'01_売上入力'!A:A,A54),"")</f>
        <v/>
      </c>
      <c r="D54" s="42">
        <f>IFERROR(SUMIFS('01_売上入力'!E:E,'01_売上入力'!A:A,A54),"")</f>
        <v/>
      </c>
      <c r="E54" s="42">
        <f>IFERROR(IF(B54="","",IF(B54=0,"-",C54/B54)),"")</f>
        <v/>
      </c>
      <c r="F54" s="41">
        <f>IFERROR(SUMIFS('04_廃棄入力'!E:E,'04_廃棄入力'!A:A,A54),"")</f>
        <v/>
      </c>
    </row>
    <row r="55" ht="18" customHeight="1">
      <c r="A55" s="39" t="n"/>
      <c r="B55" s="40" t="n"/>
      <c r="C55" s="41">
        <f>IFERROR(SUMIFS('01_売上入力'!G:G,'01_売上入力'!A:A,A55),"")</f>
        <v/>
      </c>
      <c r="D55" s="42">
        <f>IFERROR(SUMIFS('01_売上入力'!E:E,'01_売上入力'!A:A,A55),"")</f>
        <v/>
      </c>
      <c r="E55" s="42">
        <f>IFERROR(IF(B55="","",IF(B55=0,"-",C55/B55)),"")</f>
        <v/>
      </c>
      <c r="F55" s="41">
        <f>IFERROR(SUMIFS('04_廃棄入力'!E:E,'04_廃棄入力'!A:A,A55),"")</f>
        <v/>
      </c>
    </row>
    <row r="56" ht="18" customHeight="1">
      <c r="A56" s="39" t="n"/>
      <c r="B56" s="40" t="n"/>
      <c r="C56" s="41">
        <f>IFERROR(SUMIFS('01_売上入力'!G:G,'01_売上入力'!A:A,A56),"")</f>
        <v/>
      </c>
      <c r="D56" s="42">
        <f>IFERROR(SUMIFS('01_売上入力'!E:E,'01_売上入力'!A:A,A56),"")</f>
        <v/>
      </c>
      <c r="E56" s="42">
        <f>IFERROR(IF(B56="","",IF(B56=0,"-",C56/B56)),"")</f>
        <v/>
      </c>
      <c r="F56" s="41">
        <f>IFERROR(SUMIFS('04_廃棄入力'!E:E,'04_廃棄入力'!A:A,A56),"")</f>
        <v/>
      </c>
    </row>
    <row r="57" ht="18" customHeight="1">
      <c r="A57" s="39" t="n"/>
      <c r="B57" s="40" t="n"/>
      <c r="C57" s="41">
        <f>IFERROR(SUMIFS('01_売上入力'!G:G,'01_売上入力'!A:A,A57),"")</f>
        <v/>
      </c>
      <c r="D57" s="42">
        <f>IFERROR(SUMIFS('01_売上入力'!E:E,'01_売上入力'!A:A,A57),"")</f>
        <v/>
      </c>
      <c r="E57" s="42">
        <f>IFERROR(IF(B57="","",IF(B57=0,"-",C57/B57)),"")</f>
        <v/>
      </c>
      <c r="F57" s="41">
        <f>IFERROR(SUMIFS('04_廃棄入力'!E:E,'04_廃棄入力'!A:A,A57),"")</f>
        <v/>
      </c>
    </row>
    <row r="58" ht="18" customHeight="1">
      <c r="A58" s="39" t="n"/>
      <c r="B58" s="40" t="n"/>
      <c r="C58" s="41">
        <f>IFERROR(SUMIFS('01_売上入力'!G:G,'01_売上入力'!A:A,A58),"")</f>
        <v/>
      </c>
      <c r="D58" s="42">
        <f>IFERROR(SUMIFS('01_売上入力'!E:E,'01_売上入力'!A:A,A58),"")</f>
        <v/>
      </c>
      <c r="E58" s="42">
        <f>IFERROR(IF(B58="","",IF(B58=0,"-",C58/B58)),"")</f>
        <v/>
      </c>
      <c r="F58" s="41">
        <f>IFERROR(SUMIFS('04_廃棄入力'!E:E,'04_廃棄入力'!A:A,A58),"")</f>
        <v/>
      </c>
    </row>
    <row r="59" ht="18" customHeight="1">
      <c r="A59" s="39" t="n"/>
      <c r="B59" s="40" t="n"/>
      <c r="C59" s="41">
        <f>IFERROR(SUMIFS('01_売上入力'!G:G,'01_売上入力'!A:A,A59),"")</f>
        <v/>
      </c>
      <c r="D59" s="42">
        <f>IFERROR(SUMIFS('01_売上入力'!E:E,'01_売上入力'!A:A,A59),"")</f>
        <v/>
      </c>
      <c r="E59" s="42">
        <f>IFERROR(IF(B59="","",IF(B59=0,"-",C59/B59)),"")</f>
        <v/>
      </c>
      <c r="F59" s="41">
        <f>IFERROR(SUMIFS('04_廃棄入力'!E:E,'04_廃棄入力'!A:A,A59),"")</f>
        <v/>
      </c>
    </row>
    <row r="60" ht="18" customHeight="1">
      <c r="A60" s="39" t="n"/>
      <c r="B60" s="40" t="n"/>
      <c r="C60" s="41">
        <f>IFERROR(SUMIFS('01_売上入力'!G:G,'01_売上入力'!A:A,A60),"")</f>
        <v/>
      </c>
      <c r="D60" s="42">
        <f>IFERROR(SUMIFS('01_売上入力'!E:E,'01_売上入力'!A:A,A60),"")</f>
        <v/>
      </c>
      <c r="E60" s="42">
        <f>IFERROR(IF(B60="","",IF(B60=0,"-",C60/B60)),"")</f>
        <v/>
      </c>
      <c r="F60" s="41">
        <f>IFERROR(SUMIFS('04_廃棄入力'!E:E,'04_廃棄入力'!A:A,A60),"")</f>
        <v/>
      </c>
    </row>
    <row r="61" ht="18" customHeight="1">
      <c r="A61" s="39" t="n"/>
      <c r="B61" s="40" t="n"/>
      <c r="C61" s="41">
        <f>IFERROR(SUMIFS('01_売上入力'!G:G,'01_売上入力'!A:A,A61),"")</f>
        <v/>
      </c>
      <c r="D61" s="42">
        <f>IFERROR(SUMIFS('01_売上入力'!E:E,'01_売上入力'!A:A,A61),"")</f>
        <v/>
      </c>
      <c r="E61" s="42">
        <f>IFERROR(IF(B61="","",IF(B61=0,"-",C61/B61)),"")</f>
        <v/>
      </c>
      <c r="F61" s="41">
        <f>IFERROR(SUMIFS('04_廃棄入力'!E:E,'04_廃棄入力'!A:A,A61),"")</f>
        <v/>
      </c>
    </row>
    <row r="62" ht="18" customHeight="1">
      <c r="A62" s="39" t="n"/>
      <c r="B62" s="40" t="n"/>
      <c r="C62" s="41">
        <f>IFERROR(SUMIFS('01_売上入力'!G:G,'01_売上入力'!A:A,A62),"")</f>
        <v/>
      </c>
      <c r="D62" s="42">
        <f>IFERROR(SUMIFS('01_売上入力'!E:E,'01_売上入力'!A:A,A62),"")</f>
        <v/>
      </c>
      <c r="E62" s="42">
        <f>IFERROR(IF(B62="","",IF(B62=0,"-",C62/B62)),"")</f>
        <v/>
      </c>
      <c r="F62" s="41">
        <f>IFERROR(SUMIFS('04_廃棄入力'!E:E,'04_廃棄入力'!A:A,A62),"")</f>
        <v/>
      </c>
    </row>
    <row r="63" ht="18" customHeight="1">
      <c r="A63" s="39" t="n"/>
      <c r="B63" s="40" t="n"/>
      <c r="C63" s="41">
        <f>IFERROR(SUMIFS('01_売上入力'!G:G,'01_売上入力'!A:A,A63),"")</f>
        <v/>
      </c>
      <c r="D63" s="42">
        <f>IFERROR(SUMIFS('01_売上入力'!E:E,'01_売上入力'!A:A,A63),"")</f>
        <v/>
      </c>
      <c r="E63" s="42">
        <f>IFERROR(IF(B63="","",IF(B63=0,"-",C63/B63)),"")</f>
        <v/>
      </c>
      <c r="F63" s="41">
        <f>IFERROR(SUMIFS('04_廃棄入力'!E:E,'04_廃棄入力'!A:A,A63),"")</f>
        <v/>
      </c>
    </row>
    <row r="64" ht="18" customHeight="1">
      <c r="A64" s="39" t="n"/>
      <c r="B64" s="40" t="n"/>
      <c r="C64" s="41">
        <f>IFERROR(SUMIFS('01_売上入力'!G:G,'01_売上入力'!A:A,A64),"")</f>
        <v/>
      </c>
      <c r="D64" s="42">
        <f>IFERROR(SUMIFS('01_売上入力'!E:E,'01_売上入力'!A:A,A64),"")</f>
        <v/>
      </c>
      <c r="E64" s="42">
        <f>IFERROR(IF(B64="","",IF(B64=0,"-",C64/B64)),"")</f>
        <v/>
      </c>
      <c r="F64" s="41">
        <f>IFERROR(SUMIFS('04_廃棄入力'!E:E,'04_廃棄入力'!A:A,A64),"")</f>
        <v/>
      </c>
    </row>
    <row r="65" ht="18" customHeight="1">
      <c r="A65" s="39" t="n"/>
      <c r="B65" s="40" t="n"/>
      <c r="C65" s="41">
        <f>IFERROR(SUMIFS('01_売上入力'!G:G,'01_売上入力'!A:A,A65),"")</f>
        <v/>
      </c>
      <c r="D65" s="42">
        <f>IFERROR(SUMIFS('01_売上入力'!E:E,'01_売上入力'!A:A,A65),"")</f>
        <v/>
      </c>
      <c r="E65" s="42">
        <f>IFERROR(IF(B65="","",IF(B65=0,"-",C65/B65)),"")</f>
        <v/>
      </c>
      <c r="F65" s="41">
        <f>IFERROR(SUMIFS('04_廃棄入力'!E:E,'04_廃棄入力'!A:A,A65),"")</f>
        <v/>
      </c>
    </row>
    <row r="66" ht="18" customHeight="1">
      <c r="A66" s="39" t="n"/>
      <c r="B66" s="40" t="n"/>
      <c r="C66" s="41">
        <f>IFERROR(SUMIFS('01_売上入力'!G:G,'01_売上入力'!A:A,A66),"")</f>
        <v/>
      </c>
      <c r="D66" s="42">
        <f>IFERROR(SUMIFS('01_売上入力'!E:E,'01_売上入力'!A:A,A66),"")</f>
        <v/>
      </c>
      <c r="E66" s="42">
        <f>IFERROR(IF(B66="","",IF(B66=0,"-",C66/B66)),"")</f>
        <v/>
      </c>
      <c r="F66" s="41">
        <f>IFERROR(SUMIFS('04_廃棄入力'!E:E,'04_廃棄入力'!A:A,A66),"")</f>
        <v/>
      </c>
    </row>
    <row r="67" ht="18" customHeight="1">
      <c r="A67" s="39" t="n"/>
      <c r="B67" s="40" t="n"/>
      <c r="C67" s="41">
        <f>IFERROR(SUMIFS('01_売上入力'!G:G,'01_売上入力'!A:A,A67),"")</f>
        <v/>
      </c>
      <c r="D67" s="42">
        <f>IFERROR(SUMIFS('01_売上入力'!E:E,'01_売上入力'!A:A,A67),"")</f>
        <v/>
      </c>
      <c r="E67" s="42">
        <f>IFERROR(IF(B67="","",IF(B67=0,"-",C67/B67)),"")</f>
        <v/>
      </c>
      <c r="F67" s="41">
        <f>IFERROR(SUMIFS('04_廃棄入力'!E:E,'04_廃棄入力'!A:A,A67),"")</f>
        <v/>
      </c>
    </row>
    <row r="68" ht="18" customHeight="1">
      <c r="A68" s="39" t="n"/>
      <c r="B68" s="40" t="n"/>
      <c r="C68" s="41">
        <f>IFERROR(SUMIFS('01_売上入力'!G:G,'01_売上入力'!A:A,A68),"")</f>
        <v/>
      </c>
      <c r="D68" s="42">
        <f>IFERROR(SUMIFS('01_売上入力'!E:E,'01_売上入力'!A:A,A68),"")</f>
        <v/>
      </c>
      <c r="E68" s="42">
        <f>IFERROR(IF(B68="","",IF(B68=0,"-",C68/B68)),"")</f>
        <v/>
      </c>
      <c r="F68" s="41">
        <f>IFERROR(SUMIFS('04_廃棄入力'!E:E,'04_廃棄入力'!A:A,A68),"")</f>
        <v/>
      </c>
    </row>
    <row r="69" ht="18" customHeight="1">
      <c r="A69" s="39" t="n"/>
      <c r="B69" s="40" t="n"/>
      <c r="C69" s="41">
        <f>IFERROR(SUMIFS('01_売上入力'!G:G,'01_売上入力'!A:A,A69),"")</f>
        <v/>
      </c>
      <c r="D69" s="42">
        <f>IFERROR(SUMIFS('01_売上入力'!E:E,'01_売上入力'!A:A,A69),"")</f>
        <v/>
      </c>
      <c r="E69" s="42">
        <f>IFERROR(IF(B69="","",IF(B69=0,"-",C69/B69)),"")</f>
        <v/>
      </c>
      <c r="F69" s="41">
        <f>IFERROR(SUMIFS('04_廃棄入力'!E:E,'04_廃棄入力'!A:A,A69),"")</f>
        <v/>
      </c>
    </row>
    <row r="70" ht="18" customHeight="1">
      <c r="A70" s="39" t="n"/>
      <c r="B70" s="40" t="n"/>
      <c r="C70" s="41">
        <f>IFERROR(SUMIFS('01_売上入力'!G:G,'01_売上入力'!A:A,A70),"")</f>
        <v/>
      </c>
      <c r="D70" s="42">
        <f>IFERROR(SUMIFS('01_売上入力'!E:E,'01_売上入力'!A:A,A70),"")</f>
        <v/>
      </c>
      <c r="E70" s="42">
        <f>IFERROR(IF(B70="","",IF(B70=0,"-",C70/B70)),"")</f>
        <v/>
      </c>
      <c r="F70" s="41">
        <f>IFERROR(SUMIFS('04_廃棄入力'!E:E,'04_廃棄入力'!A:A,A70),"")</f>
        <v/>
      </c>
    </row>
    <row r="71" ht="18" customHeight="1">
      <c r="A71" s="39" t="n"/>
      <c r="B71" s="40" t="n"/>
      <c r="C71" s="41">
        <f>IFERROR(SUMIFS('01_売上入力'!G:G,'01_売上入力'!A:A,A71),"")</f>
        <v/>
      </c>
      <c r="D71" s="42">
        <f>IFERROR(SUMIFS('01_売上入力'!E:E,'01_売上入力'!A:A,A71),"")</f>
        <v/>
      </c>
      <c r="E71" s="42">
        <f>IFERROR(IF(B71="","",IF(B71=0,"-",C71/B71)),"")</f>
        <v/>
      </c>
      <c r="F71" s="41">
        <f>IFERROR(SUMIFS('04_廃棄入力'!E:E,'04_廃棄入力'!A:A,A71),"")</f>
        <v/>
      </c>
    </row>
    <row r="72" ht="18" customHeight="1">
      <c r="A72" s="39" t="n"/>
      <c r="B72" s="40" t="n"/>
      <c r="C72" s="41">
        <f>IFERROR(SUMIFS('01_売上入力'!G:G,'01_売上入力'!A:A,A72),"")</f>
        <v/>
      </c>
      <c r="D72" s="42">
        <f>IFERROR(SUMIFS('01_売上入力'!E:E,'01_売上入力'!A:A,A72),"")</f>
        <v/>
      </c>
      <c r="E72" s="42">
        <f>IFERROR(IF(B72="","",IF(B72=0,"-",C72/B72)),"")</f>
        <v/>
      </c>
      <c r="F72" s="41">
        <f>IFERROR(SUMIFS('04_廃棄入力'!E:E,'04_廃棄入力'!A:A,A72),"")</f>
        <v/>
      </c>
    </row>
    <row r="73" ht="18" customHeight="1">
      <c r="A73" s="39" t="n"/>
      <c r="B73" s="40" t="n"/>
      <c r="C73" s="41">
        <f>IFERROR(SUMIFS('01_売上入力'!G:G,'01_売上入力'!A:A,A73),"")</f>
        <v/>
      </c>
      <c r="D73" s="42">
        <f>IFERROR(SUMIFS('01_売上入力'!E:E,'01_売上入力'!A:A,A73),"")</f>
        <v/>
      </c>
      <c r="E73" s="42">
        <f>IFERROR(IF(B73="","",IF(B73=0,"-",C73/B73)),"")</f>
        <v/>
      </c>
      <c r="F73" s="41">
        <f>IFERROR(SUMIFS('04_廃棄入力'!E:E,'04_廃棄入力'!A:A,A73),"")</f>
        <v/>
      </c>
    </row>
    <row r="74" ht="18" customHeight="1">
      <c r="A74" s="39" t="n"/>
      <c r="B74" s="40" t="n"/>
      <c r="C74" s="41">
        <f>IFERROR(SUMIFS('01_売上入力'!G:G,'01_売上入力'!A:A,A74),"")</f>
        <v/>
      </c>
      <c r="D74" s="42">
        <f>IFERROR(SUMIFS('01_売上入力'!E:E,'01_売上入力'!A:A,A74),"")</f>
        <v/>
      </c>
      <c r="E74" s="42">
        <f>IFERROR(IF(B74="","",IF(B74=0,"-",C74/B74)),"")</f>
        <v/>
      </c>
      <c r="F74" s="41">
        <f>IFERROR(SUMIFS('04_廃棄入力'!E:E,'04_廃棄入力'!A:A,A74),"")</f>
        <v/>
      </c>
    </row>
    <row r="75" ht="18" customHeight="1">
      <c r="A75" s="39" t="n"/>
      <c r="B75" s="40" t="n"/>
      <c r="C75" s="41">
        <f>IFERROR(SUMIFS('01_売上入力'!G:G,'01_売上入力'!A:A,A75),"")</f>
        <v/>
      </c>
      <c r="D75" s="42">
        <f>IFERROR(SUMIFS('01_売上入力'!E:E,'01_売上入力'!A:A,A75),"")</f>
        <v/>
      </c>
      <c r="E75" s="42">
        <f>IFERROR(IF(B75="","",IF(B75=0,"-",C75/B75)),"")</f>
        <v/>
      </c>
      <c r="F75" s="41">
        <f>IFERROR(SUMIFS('04_廃棄入力'!E:E,'04_廃棄入力'!A:A,A75),"")</f>
        <v/>
      </c>
    </row>
    <row r="76" ht="18" customHeight="1">
      <c r="A76" s="39" t="n"/>
      <c r="B76" s="40" t="n"/>
      <c r="C76" s="41">
        <f>IFERROR(SUMIFS('01_売上入力'!G:G,'01_売上入力'!A:A,A76),"")</f>
        <v/>
      </c>
      <c r="D76" s="42">
        <f>IFERROR(SUMIFS('01_売上入力'!E:E,'01_売上入力'!A:A,A76),"")</f>
        <v/>
      </c>
      <c r="E76" s="42">
        <f>IFERROR(IF(B76="","",IF(B76=0,"-",C76/B76)),"")</f>
        <v/>
      </c>
      <c r="F76" s="41">
        <f>IFERROR(SUMIFS('04_廃棄入力'!E:E,'04_廃棄入力'!A:A,A76),"")</f>
        <v/>
      </c>
    </row>
    <row r="77" ht="18" customHeight="1">
      <c r="A77" s="39" t="n"/>
      <c r="B77" s="40" t="n"/>
      <c r="C77" s="41">
        <f>IFERROR(SUMIFS('01_売上入力'!G:G,'01_売上入力'!A:A,A77),"")</f>
        <v/>
      </c>
      <c r="D77" s="42">
        <f>IFERROR(SUMIFS('01_売上入力'!E:E,'01_売上入力'!A:A,A77),"")</f>
        <v/>
      </c>
      <c r="E77" s="42">
        <f>IFERROR(IF(B77="","",IF(B77=0,"-",C77/B77)),"")</f>
        <v/>
      </c>
      <c r="F77" s="41">
        <f>IFERROR(SUMIFS('04_廃棄入力'!E:E,'04_廃棄入力'!A:A,A77),"")</f>
        <v/>
      </c>
    </row>
    <row r="78" ht="18" customHeight="1">
      <c r="A78" s="39" t="n"/>
      <c r="B78" s="40" t="n"/>
      <c r="C78" s="41">
        <f>IFERROR(SUMIFS('01_売上入力'!G:G,'01_売上入力'!A:A,A78),"")</f>
        <v/>
      </c>
      <c r="D78" s="42">
        <f>IFERROR(SUMIFS('01_売上入力'!E:E,'01_売上入力'!A:A,A78),"")</f>
        <v/>
      </c>
      <c r="E78" s="42">
        <f>IFERROR(IF(B78="","",IF(B78=0,"-",C78/B78)),"")</f>
        <v/>
      </c>
      <c r="F78" s="41">
        <f>IFERROR(SUMIFS('04_廃棄入力'!E:E,'04_廃棄入力'!A:A,A78),"")</f>
        <v/>
      </c>
    </row>
    <row r="79" ht="18" customHeight="1">
      <c r="A79" s="39" t="n"/>
      <c r="B79" s="40" t="n"/>
      <c r="C79" s="41">
        <f>IFERROR(SUMIFS('01_売上入力'!G:G,'01_売上入力'!A:A,A79),"")</f>
        <v/>
      </c>
      <c r="D79" s="42">
        <f>IFERROR(SUMIFS('01_売上入力'!E:E,'01_売上入力'!A:A,A79),"")</f>
        <v/>
      </c>
      <c r="E79" s="42">
        <f>IFERROR(IF(B79="","",IF(B79=0,"-",C79/B79)),"")</f>
        <v/>
      </c>
      <c r="F79" s="41">
        <f>IFERROR(SUMIFS('04_廃棄入力'!E:E,'04_廃棄入力'!A:A,A79),"")</f>
        <v/>
      </c>
    </row>
    <row r="80" ht="18" customHeight="1">
      <c r="A80" s="39" t="n"/>
      <c r="B80" s="40" t="n"/>
      <c r="C80" s="41">
        <f>IFERROR(SUMIFS('01_売上入力'!G:G,'01_売上入力'!A:A,A80),"")</f>
        <v/>
      </c>
      <c r="D80" s="42">
        <f>IFERROR(SUMIFS('01_売上入力'!E:E,'01_売上入力'!A:A,A80),"")</f>
        <v/>
      </c>
      <c r="E80" s="42">
        <f>IFERROR(IF(B80="","",IF(B80=0,"-",C80/B80)),"")</f>
        <v/>
      </c>
      <c r="F80" s="41">
        <f>IFERROR(SUMIFS('04_廃棄入力'!E:E,'04_廃棄入力'!A:A,A80),"")</f>
        <v/>
      </c>
    </row>
    <row r="81" ht="18" customHeight="1">
      <c r="A81" s="39" t="n"/>
      <c r="B81" s="40" t="n"/>
      <c r="C81" s="41">
        <f>IFERROR(SUMIFS('01_売上入力'!G:G,'01_売上入力'!A:A,A81),"")</f>
        <v/>
      </c>
      <c r="D81" s="42">
        <f>IFERROR(SUMIFS('01_売上入力'!E:E,'01_売上入力'!A:A,A81),"")</f>
        <v/>
      </c>
      <c r="E81" s="42">
        <f>IFERROR(IF(B81="","",IF(B81=0,"-",C81/B81)),"")</f>
        <v/>
      </c>
      <c r="F81" s="41">
        <f>IFERROR(SUMIFS('04_廃棄入力'!E:E,'04_廃棄入力'!A:A,A81),"")</f>
        <v/>
      </c>
    </row>
    <row r="82" ht="18" customHeight="1">
      <c r="A82" s="39" t="n"/>
      <c r="B82" s="40" t="n"/>
      <c r="C82" s="41">
        <f>IFERROR(SUMIFS('01_売上入力'!G:G,'01_売上入力'!A:A,A82),"")</f>
        <v/>
      </c>
      <c r="D82" s="42">
        <f>IFERROR(SUMIFS('01_売上入力'!E:E,'01_売上入力'!A:A,A82),"")</f>
        <v/>
      </c>
      <c r="E82" s="42">
        <f>IFERROR(IF(B82="","",IF(B82=0,"-",C82/B82)),"")</f>
        <v/>
      </c>
      <c r="F82" s="41">
        <f>IFERROR(SUMIFS('04_廃棄入力'!E:E,'04_廃棄入力'!A:A,A82),"")</f>
        <v/>
      </c>
    </row>
    <row r="83" ht="18" customHeight="1">
      <c r="A83" s="39" t="n"/>
      <c r="B83" s="40" t="n"/>
      <c r="C83" s="41">
        <f>IFERROR(SUMIFS('01_売上入力'!G:G,'01_売上入力'!A:A,A83),"")</f>
        <v/>
      </c>
      <c r="D83" s="42">
        <f>IFERROR(SUMIFS('01_売上入力'!E:E,'01_売上入力'!A:A,A83),"")</f>
        <v/>
      </c>
      <c r="E83" s="42">
        <f>IFERROR(IF(B83="","",IF(B83=0,"-",C83/B83)),"")</f>
        <v/>
      </c>
      <c r="F83" s="41">
        <f>IFERROR(SUMIFS('04_廃棄入力'!E:E,'04_廃棄入力'!A:A,A83),"")</f>
        <v/>
      </c>
    </row>
    <row r="84" ht="18" customHeight="1">
      <c r="A84" s="39" t="n"/>
      <c r="B84" s="40" t="n"/>
      <c r="C84" s="41">
        <f>IFERROR(SUMIFS('01_売上入力'!G:G,'01_売上入力'!A:A,A84),"")</f>
        <v/>
      </c>
      <c r="D84" s="42">
        <f>IFERROR(SUMIFS('01_売上入力'!E:E,'01_売上入力'!A:A,A84),"")</f>
        <v/>
      </c>
      <c r="E84" s="42">
        <f>IFERROR(IF(B84="","",IF(B84=0,"-",C84/B84)),"")</f>
        <v/>
      </c>
      <c r="F84" s="41">
        <f>IFERROR(SUMIFS('04_廃棄入力'!E:E,'04_廃棄入力'!A:A,A84),"")</f>
        <v/>
      </c>
    </row>
    <row r="85" ht="18" customHeight="1">
      <c r="A85" s="39" t="n"/>
      <c r="B85" s="40" t="n"/>
      <c r="C85" s="41">
        <f>IFERROR(SUMIFS('01_売上入力'!G:G,'01_売上入力'!A:A,A85),"")</f>
        <v/>
      </c>
      <c r="D85" s="42">
        <f>IFERROR(SUMIFS('01_売上入力'!E:E,'01_売上入力'!A:A,A85),"")</f>
        <v/>
      </c>
      <c r="E85" s="42">
        <f>IFERROR(IF(B85="","",IF(B85=0,"-",C85/B85)),"")</f>
        <v/>
      </c>
      <c r="F85" s="41">
        <f>IFERROR(SUMIFS('04_廃棄入力'!E:E,'04_廃棄入力'!A:A,A85),"")</f>
        <v/>
      </c>
    </row>
    <row r="86" ht="18" customHeight="1">
      <c r="A86" s="39" t="n"/>
      <c r="B86" s="40" t="n"/>
      <c r="C86" s="41">
        <f>IFERROR(SUMIFS('01_売上入力'!G:G,'01_売上入力'!A:A,A86),"")</f>
        <v/>
      </c>
      <c r="D86" s="42">
        <f>IFERROR(SUMIFS('01_売上入力'!E:E,'01_売上入力'!A:A,A86),"")</f>
        <v/>
      </c>
      <c r="E86" s="42">
        <f>IFERROR(IF(B86="","",IF(B86=0,"-",C86/B86)),"")</f>
        <v/>
      </c>
      <c r="F86" s="41">
        <f>IFERROR(SUMIFS('04_廃棄入力'!E:E,'04_廃棄入力'!A:A,A86),"")</f>
        <v/>
      </c>
    </row>
    <row r="87" ht="18" customHeight="1">
      <c r="A87" s="39" t="n"/>
      <c r="B87" s="40" t="n"/>
      <c r="C87" s="41">
        <f>IFERROR(SUMIFS('01_売上入力'!G:G,'01_売上入力'!A:A,A87),"")</f>
        <v/>
      </c>
      <c r="D87" s="42">
        <f>IFERROR(SUMIFS('01_売上入力'!E:E,'01_売上入力'!A:A,A87),"")</f>
        <v/>
      </c>
      <c r="E87" s="42">
        <f>IFERROR(IF(B87="","",IF(B87=0,"-",C87/B87)),"")</f>
        <v/>
      </c>
      <c r="F87" s="41">
        <f>IFERROR(SUMIFS('04_廃棄入力'!E:E,'04_廃棄入力'!A:A,A87),"")</f>
        <v/>
      </c>
    </row>
    <row r="88" ht="18" customHeight="1">
      <c r="A88" s="39" t="n"/>
      <c r="B88" s="40" t="n"/>
      <c r="C88" s="41">
        <f>IFERROR(SUMIFS('01_売上入力'!G:G,'01_売上入力'!A:A,A88),"")</f>
        <v/>
      </c>
      <c r="D88" s="42">
        <f>IFERROR(SUMIFS('01_売上入力'!E:E,'01_売上入力'!A:A,A88),"")</f>
        <v/>
      </c>
      <c r="E88" s="42">
        <f>IFERROR(IF(B88="","",IF(B88=0,"-",C88/B88)),"")</f>
        <v/>
      </c>
      <c r="F88" s="41">
        <f>IFERROR(SUMIFS('04_廃棄入力'!E:E,'04_廃棄入力'!A:A,A88),"")</f>
        <v/>
      </c>
    </row>
    <row r="89" ht="18" customHeight="1">
      <c r="A89" s="39" t="n"/>
      <c r="B89" s="40" t="n"/>
      <c r="C89" s="41">
        <f>IFERROR(SUMIFS('01_売上入力'!G:G,'01_売上入力'!A:A,A89),"")</f>
        <v/>
      </c>
      <c r="D89" s="42">
        <f>IFERROR(SUMIFS('01_売上入力'!E:E,'01_売上入力'!A:A,A89),"")</f>
        <v/>
      </c>
      <c r="E89" s="42">
        <f>IFERROR(IF(B89="","",IF(B89=0,"-",C89/B89)),"")</f>
        <v/>
      </c>
      <c r="F89" s="41">
        <f>IFERROR(SUMIFS('04_廃棄入力'!E:E,'04_廃棄入力'!A:A,A89),"")</f>
        <v/>
      </c>
    </row>
    <row r="90" ht="18" customHeight="1">
      <c r="A90" s="39" t="n"/>
      <c r="B90" s="40" t="n"/>
      <c r="C90" s="41">
        <f>IFERROR(SUMIFS('01_売上入力'!G:G,'01_売上入力'!A:A,A90),"")</f>
        <v/>
      </c>
      <c r="D90" s="42">
        <f>IFERROR(SUMIFS('01_売上入力'!E:E,'01_売上入力'!A:A,A90),"")</f>
        <v/>
      </c>
      <c r="E90" s="42">
        <f>IFERROR(IF(B90="","",IF(B90=0,"-",C90/B90)),"")</f>
        <v/>
      </c>
      <c r="F90" s="41">
        <f>IFERROR(SUMIFS('04_廃棄入力'!E:E,'04_廃棄入力'!A:A,A90),"")</f>
        <v/>
      </c>
    </row>
    <row r="91" ht="18" customHeight="1">
      <c r="A91" s="39" t="n"/>
      <c r="B91" s="40" t="n"/>
      <c r="C91" s="41">
        <f>IFERROR(SUMIFS('01_売上入力'!G:G,'01_売上入力'!A:A,A91),"")</f>
        <v/>
      </c>
      <c r="D91" s="42">
        <f>IFERROR(SUMIFS('01_売上入力'!E:E,'01_売上入力'!A:A,A91),"")</f>
        <v/>
      </c>
      <c r="E91" s="42">
        <f>IFERROR(IF(B91="","",IF(B91=0,"-",C91/B91)),"")</f>
        <v/>
      </c>
      <c r="F91" s="41">
        <f>IFERROR(SUMIFS('04_廃棄入力'!E:E,'04_廃棄入力'!A:A,A91),"")</f>
        <v/>
      </c>
    </row>
    <row r="92" ht="18" customHeight="1">
      <c r="A92" s="39" t="n"/>
      <c r="B92" s="40" t="n"/>
      <c r="C92" s="41">
        <f>IFERROR(SUMIFS('01_売上入力'!G:G,'01_売上入力'!A:A,A92),"")</f>
        <v/>
      </c>
      <c r="D92" s="42">
        <f>IFERROR(SUMIFS('01_売上入力'!E:E,'01_売上入力'!A:A,A92),"")</f>
        <v/>
      </c>
      <c r="E92" s="42">
        <f>IFERROR(IF(B92="","",IF(B92=0,"-",C92/B92)),"")</f>
        <v/>
      </c>
      <c r="F92" s="41">
        <f>IFERROR(SUMIFS('04_廃棄入力'!E:E,'04_廃棄入力'!A:A,A92),"")</f>
        <v/>
      </c>
    </row>
    <row r="93" ht="18" customHeight="1">
      <c r="A93" s="39" t="n"/>
      <c r="B93" s="40" t="n"/>
      <c r="C93" s="41">
        <f>IFERROR(SUMIFS('01_売上入力'!G:G,'01_売上入力'!A:A,A93),"")</f>
        <v/>
      </c>
      <c r="D93" s="42">
        <f>IFERROR(SUMIFS('01_売上入力'!E:E,'01_売上入力'!A:A,A93),"")</f>
        <v/>
      </c>
      <c r="E93" s="42">
        <f>IFERROR(IF(B93="","",IF(B93=0,"-",C93/B93)),"")</f>
        <v/>
      </c>
      <c r="F93" s="41">
        <f>IFERROR(SUMIFS('04_廃棄入力'!E:E,'04_廃棄入力'!A:A,A93),"")</f>
        <v/>
      </c>
    </row>
    <row r="94" ht="18" customHeight="1">
      <c r="A94" s="39" t="n"/>
      <c r="B94" s="40" t="n"/>
      <c r="C94" s="41">
        <f>IFERROR(SUMIFS('01_売上入力'!G:G,'01_売上入力'!A:A,A94),"")</f>
        <v/>
      </c>
      <c r="D94" s="42">
        <f>IFERROR(SUMIFS('01_売上入力'!E:E,'01_売上入力'!A:A,A94),"")</f>
        <v/>
      </c>
      <c r="E94" s="42">
        <f>IFERROR(IF(B94="","",IF(B94=0,"-",C94/B94)),"")</f>
        <v/>
      </c>
      <c r="F94" s="41">
        <f>IFERROR(SUMIFS('04_廃棄入力'!E:E,'04_廃棄入力'!A:A,A94),"")</f>
        <v/>
      </c>
    </row>
    <row r="95" ht="18" customHeight="1">
      <c r="A95" s="39" t="n"/>
      <c r="B95" s="40" t="n"/>
      <c r="C95" s="41">
        <f>IFERROR(SUMIFS('01_売上入力'!G:G,'01_売上入力'!A:A,A95),"")</f>
        <v/>
      </c>
      <c r="D95" s="42">
        <f>IFERROR(SUMIFS('01_売上入力'!E:E,'01_売上入力'!A:A,A95),"")</f>
        <v/>
      </c>
      <c r="E95" s="42">
        <f>IFERROR(IF(B95="","",IF(B95=0,"-",C95/B95)),"")</f>
        <v/>
      </c>
      <c r="F95" s="41">
        <f>IFERROR(SUMIFS('04_廃棄入力'!E:E,'04_廃棄入力'!A:A,A95),"")</f>
        <v/>
      </c>
    </row>
    <row r="96" ht="18" customHeight="1">
      <c r="A96" s="39" t="n"/>
      <c r="B96" s="40" t="n"/>
      <c r="C96" s="41">
        <f>IFERROR(SUMIFS('01_売上入力'!G:G,'01_売上入力'!A:A,A96),"")</f>
        <v/>
      </c>
      <c r="D96" s="42">
        <f>IFERROR(SUMIFS('01_売上入力'!E:E,'01_売上入力'!A:A,A96),"")</f>
        <v/>
      </c>
      <c r="E96" s="42">
        <f>IFERROR(IF(B96="","",IF(B96=0,"-",C96/B96)),"")</f>
        <v/>
      </c>
      <c r="F96" s="41">
        <f>IFERROR(SUMIFS('04_廃棄入力'!E:E,'04_廃棄入力'!A:A,A96),"")</f>
        <v/>
      </c>
    </row>
    <row r="97" ht="18" customHeight="1">
      <c r="A97" s="39" t="n"/>
      <c r="B97" s="40" t="n"/>
      <c r="C97" s="41">
        <f>IFERROR(SUMIFS('01_売上入力'!G:G,'01_売上入力'!A:A,A97),"")</f>
        <v/>
      </c>
      <c r="D97" s="42">
        <f>IFERROR(SUMIFS('01_売上入力'!E:E,'01_売上入力'!A:A,A97),"")</f>
        <v/>
      </c>
      <c r="E97" s="42">
        <f>IFERROR(IF(B97="","",IF(B97=0,"-",C97/B97)),"")</f>
        <v/>
      </c>
      <c r="F97" s="41">
        <f>IFERROR(SUMIFS('04_廃棄入力'!E:E,'04_廃棄入力'!A:A,A97),"")</f>
        <v/>
      </c>
    </row>
    <row r="98" ht="18" customHeight="1">
      <c r="A98" s="39" t="n"/>
      <c r="B98" s="40" t="n"/>
      <c r="C98" s="41">
        <f>IFERROR(SUMIFS('01_売上入力'!G:G,'01_売上入力'!A:A,A98),"")</f>
        <v/>
      </c>
      <c r="D98" s="42">
        <f>IFERROR(SUMIFS('01_売上入力'!E:E,'01_売上入力'!A:A,A98),"")</f>
        <v/>
      </c>
      <c r="E98" s="42">
        <f>IFERROR(IF(B98="","",IF(B98=0,"-",C98/B98)),"")</f>
        <v/>
      </c>
      <c r="F98" s="41">
        <f>IFERROR(SUMIFS('04_廃棄入力'!E:E,'04_廃棄入力'!A:A,A98),"")</f>
        <v/>
      </c>
    </row>
    <row r="99" ht="18" customHeight="1">
      <c r="A99" s="39" t="n"/>
      <c r="B99" s="40" t="n"/>
      <c r="C99" s="41">
        <f>IFERROR(SUMIFS('01_売上入力'!G:G,'01_売上入力'!A:A,A99),"")</f>
        <v/>
      </c>
      <c r="D99" s="42">
        <f>IFERROR(SUMIFS('01_売上入力'!E:E,'01_売上入力'!A:A,A99),"")</f>
        <v/>
      </c>
      <c r="E99" s="42">
        <f>IFERROR(IF(B99="","",IF(B99=0,"-",C99/B99)),"")</f>
        <v/>
      </c>
      <c r="F99" s="41">
        <f>IFERROR(SUMIFS('04_廃棄入力'!E:E,'04_廃棄入力'!A:A,A99),"")</f>
        <v/>
      </c>
    </row>
    <row r="100" ht="18" customHeight="1">
      <c r="A100" s="39" t="n"/>
      <c r="B100" s="40" t="n"/>
      <c r="C100" s="41">
        <f>IFERROR(SUMIFS('01_売上入力'!G:G,'01_売上入力'!A:A,A100),"")</f>
        <v/>
      </c>
      <c r="D100" s="42">
        <f>IFERROR(SUMIFS('01_売上入力'!E:E,'01_売上入力'!A:A,A100),"")</f>
        <v/>
      </c>
      <c r="E100" s="42">
        <f>IFERROR(IF(B100="","",IF(B100=0,"-",C100/B100)),"")</f>
        <v/>
      </c>
      <c r="F100" s="41">
        <f>IFERROR(SUMIFS('04_廃棄入力'!E:E,'04_廃棄入力'!A:A,A100),"")</f>
        <v/>
      </c>
    </row>
    <row r="101" ht="18" customHeight="1">
      <c r="A101" s="39" t="n"/>
      <c r="B101" s="40" t="n"/>
      <c r="C101" s="41">
        <f>IFERROR(SUMIFS('01_売上入力'!G:G,'01_売上入力'!A:A,A101),"")</f>
        <v/>
      </c>
      <c r="D101" s="42">
        <f>IFERROR(SUMIFS('01_売上入力'!E:E,'01_売上入力'!A:A,A101),"")</f>
        <v/>
      </c>
      <c r="E101" s="42">
        <f>IFERROR(IF(B101="","",IF(B101=0,"-",C101/B101)),"")</f>
        <v/>
      </c>
      <c r="F101" s="41">
        <f>IFERROR(SUMIFS('04_廃棄入力'!E:E,'04_廃棄入力'!A:A,A101),"")</f>
        <v/>
      </c>
    </row>
    <row r="102" ht="18" customHeight="1">
      <c r="A102" s="39" t="n"/>
      <c r="B102" s="40" t="n"/>
      <c r="C102" s="41">
        <f>IFERROR(SUMIFS('01_売上入力'!G:G,'01_売上入力'!A:A,A102),"")</f>
        <v/>
      </c>
      <c r="D102" s="42">
        <f>IFERROR(SUMIFS('01_売上入力'!E:E,'01_売上入力'!A:A,A102),"")</f>
        <v/>
      </c>
      <c r="E102" s="42">
        <f>IFERROR(IF(B102="","",IF(B102=0,"-",C102/B102)),"")</f>
        <v/>
      </c>
      <c r="F102" s="41">
        <f>IFERROR(SUMIFS('04_廃棄入力'!E:E,'04_廃棄入力'!A:A,A102),"")</f>
        <v/>
      </c>
    </row>
    <row r="103" ht="18" customHeight="1">
      <c r="A103" s="39" t="n"/>
      <c r="B103" s="40" t="n"/>
      <c r="C103" s="41">
        <f>IFERROR(SUMIFS('01_売上入力'!G:G,'01_売上入力'!A:A,A103),"")</f>
        <v/>
      </c>
      <c r="D103" s="42">
        <f>IFERROR(SUMIFS('01_売上入力'!E:E,'01_売上入力'!A:A,A103),"")</f>
        <v/>
      </c>
      <c r="E103" s="42">
        <f>IFERROR(IF(B103="","",IF(B103=0,"-",C103/B103)),"")</f>
        <v/>
      </c>
      <c r="F103" s="41">
        <f>IFERROR(SUMIFS('04_廃棄入力'!E:E,'04_廃棄入力'!A:A,A103),"")</f>
        <v/>
      </c>
    </row>
    <row r="104" ht="18" customHeight="1">
      <c r="A104" s="39" t="n"/>
      <c r="B104" s="40" t="n"/>
      <c r="C104" s="41">
        <f>IFERROR(SUMIFS('01_売上入力'!G:G,'01_売上入力'!A:A,A104),"")</f>
        <v/>
      </c>
      <c r="D104" s="42">
        <f>IFERROR(SUMIFS('01_売上入力'!E:E,'01_売上入力'!A:A,A104),"")</f>
        <v/>
      </c>
      <c r="E104" s="42">
        <f>IFERROR(IF(B104="","",IF(B104=0,"-",C104/B104)),"")</f>
        <v/>
      </c>
      <c r="F104" s="41">
        <f>IFERROR(SUMIFS('04_廃棄入力'!E:E,'04_廃棄入力'!A:A,A104),"")</f>
        <v/>
      </c>
    </row>
    <row r="105" ht="18" customHeight="1">
      <c r="A105" s="39" t="n"/>
      <c r="B105" s="40" t="n"/>
      <c r="C105" s="41">
        <f>IFERROR(SUMIFS('01_売上入力'!G:G,'01_売上入力'!A:A,A105),"")</f>
        <v/>
      </c>
      <c r="D105" s="42">
        <f>IFERROR(SUMIFS('01_売上入力'!E:E,'01_売上入力'!A:A,A105),"")</f>
        <v/>
      </c>
      <c r="E105" s="42">
        <f>IFERROR(IF(B105="","",IF(B105=0,"-",C105/B105)),"")</f>
        <v/>
      </c>
      <c r="F105" s="41">
        <f>IFERROR(SUMIFS('04_廃棄入力'!E:E,'04_廃棄入力'!A:A,A105),"")</f>
        <v/>
      </c>
    </row>
    <row r="106" ht="18" customHeight="1">
      <c r="A106" s="39" t="n"/>
      <c r="B106" s="40" t="n"/>
      <c r="C106" s="41">
        <f>IFERROR(SUMIFS('01_売上入力'!G:G,'01_売上入力'!A:A,A106),"")</f>
        <v/>
      </c>
      <c r="D106" s="42">
        <f>IFERROR(SUMIFS('01_売上入力'!E:E,'01_売上入力'!A:A,A106),"")</f>
        <v/>
      </c>
      <c r="E106" s="42">
        <f>IFERROR(IF(B106="","",IF(B106=0,"-",C106/B106)),"")</f>
        <v/>
      </c>
      <c r="F106" s="41">
        <f>IFERROR(SUMIFS('04_廃棄入力'!E:E,'04_廃棄入力'!A:A,A106),"")</f>
        <v/>
      </c>
    </row>
    <row r="107" ht="18" customHeight="1">
      <c r="A107" s="39" t="n"/>
      <c r="B107" s="40" t="n"/>
      <c r="C107" s="41">
        <f>IFERROR(SUMIFS('01_売上入力'!G:G,'01_売上入力'!A:A,A107),"")</f>
        <v/>
      </c>
      <c r="D107" s="42">
        <f>IFERROR(SUMIFS('01_売上入力'!E:E,'01_売上入力'!A:A,A107),"")</f>
        <v/>
      </c>
      <c r="E107" s="42">
        <f>IFERROR(IF(B107="","",IF(B107=0,"-",C107/B107)),"")</f>
        <v/>
      </c>
      <c r="F107" s="41">
        <f>IFERROR(SUMIFS('04_廃棄入力'!E:E,'04_廃棄入力'!A:A,A107),"")</f>
        <v/>
      </c>
    </row>
    <row r="108" ht="18" customHeight="1">
      <c r="A108" s="39" t="n"/>
      <c r="B108" s="40" t="n"/>
      <c r="C108" s="41">
        <f>IFERROR(SUMIFS('01_売上入力'!G:G,'01_売上入力'!A:A,A108),"")</f>
        <v/>
      </c>
      <c r="D108" s="42">
        <f>IFERROR(SUMIFS('01_売上入力'!E:E,'01_売上入力'!A:A,A108),"")</f>
        <v/>
      </c>
      <c r="E108" s="42">
        <f>IFERROR(IF(B108="","",IF(B108=0,"-",C108/B108)),"")</f>
        <v/>
      </c>
      <c r="F108" s="41">
        <f>IFERROR(SUMIFS('04_廃棄入力'!E:E,'04_廃棄入力'!A:A,A108),"")</f>
        <v/>
      </c>
    </row>
    <row r="109" ht="18" customHeight="1">
      <c r="A109" s="39" t="n"/>
      <c r="B109" s="40" t="n"/>
      <c r="C109" s="41">
        <f>IFERROR(SUMIFS('01_売上入力'!G:G,'01_売上入力'!A:A,A109),"")</f>
        <v/>
      </c>
      <c r="D109" s="42">
        <f>IFERROR(SUMIFS('01_売上入力'!E:E,'01_売上入力'!A:A,A109),"")</f>
        <v/>
      </c>
      <c r="E109" s="42">
        <f>IFERROR(IF(B109="","",IF(B109=0,"-",C109/B109)),"")</f>
        <v/>
      </c>
      <c r="F109" s="41">
        <f>IFERROR(SUMIFS('04_廃棄入力'!E:E,'04_廃棄入力'!A:A,A109),"")</f>
        <v/>
      </c>
    </row>
    <row r="110" ht="18" customHeight="1">
      <c r="A110" s="39" t="n"/>
      <c r="B110" s="40" t="n"/>
      <c r="C110" s="41">
        <f>IFERROR(SUMIFS('01_売上入力'!G:G,'01_売上入力'!A:A,A110),"")</f>
        <v/>
      </c>
      <c r="D110" s="42">
        <f>IFERROR(SUMIFS('01_売上入力'!E:E,'01_売上入力'!A:A,A110),"")</f>
        <v/>
      </c>
      <c r="E110" s="42">
        <f>IFERROR(IF(B110="","",IF(B110=0,"-",C110/B110)),"")</f>
        <v/>
      </c>
      <c r="F110" s="41">
        <f>IFERROR(SUMIFS('04_廃棄入力'!E:E,'04_廃棄入力'!A:A,A110),"")</f>
        <v/>
      </c>
    </row>
    <row r="111" ht="18" customHeight="1">
      <c r="A111" s="39" t="n"/>
      <c r="B111" s="40" t="n"/>
      <c r="C111" s="41">
        <f>IFERROR(SUMIFS('01_売上入力'!G:G,'01_売上入力'!A:A,A111),"")</f>
        <v/>
      </c>
      <c r="D111" s="42">
        <f>IFERROR(SUMIFS('01_売上入力'!E:E,'01_売上入力'!A:A,A111),"")</f>
        <v/>
      </c>
      <c r="E111" s="42">
        <f>IFERROR(IF(B111="","",IF(B111=0,"-",C111/B111)),"")</f>
        <v/>
      </c>
      <c r="F111" s="41">
        <f>IFERROR(SUMIFS('04_廃棄入力'!E:E,'04_廃棄入力'!A:A,A111),"")</f>
        <v/>
      </c>
    </row>
    <row r="112" ht="18" customHeight="1">
      <c r="A112" s="39" t="n"/>
      <c r="B112" s="40" t="n"/>
      <c r="C112" s="41">
        <f>IFERROR(SUMIFS('01_売上入力'!G:G,'01_売上入力'!A:A,A112),"")</f>
        <v/>
      </c>
      <c r="D112" s="42">
        <f>IFERROR(SUMIFS('01_売上入力'!E:E,'01_売上入力'!A:A,A112),"")</f>
        <v/>
      </c>
      <c r="E112" s="42">
        <f>IFERROR(IF(B112="","",IF(B112=0,"-",C112/B112)),"")</f>
        <v/>
      </c>
      <c r="F112" s="41">
        <f>IFERROR(SUMIFS('04_廃棄入力'!E:E,'04_廃棄入力'!A:A,A112),"")</f>
        <v/>
      </c>
    </row>
    <row r="113" ht="18" customHeight="1">
      <c r="A113" s="39" t="n"/>
      <c r="B113" s="40" t="n"/>
      <c r="C113" s="41">
        <f>IFERROR(SUMIFS('01_売上入力'!G:G,'01_売上入力'!A:A,A113),"")</f>
        <v/>
      </c>
      <c r="D113" s="42">
        <f>IFERROR(SUMIFS('01_売上入力'!E:E,'01_売上入力'!A:A,A113),"")</f>
        <v/>
      </c>
      <c r="E113" s="42">
        <f>IFERROR(IF(B113="","",IF(B113=0,"-",C113/B113)),"")</f>
        <v/>
      </c>
      <c r="F113" s="41">
        <f>IFERROR(SUMIFS('04_廃棄入力'!E:E,'04_廃棄入力'!A:A,A113),"")</f>
        <v/>
      </c>
    </row>
    <row r="114" ht="18" customHeight="1">
      <c r="A114" s="39" t="n"/>
      <c r="B114" s="40" t="n"/>
      <c r="C114" s="41">
        <f>IFERROR(SUMIFS('01_売上入力'!G:G,'01_売上入力'!A:A,A114),"")</f>
        <v/>
      </c>
      <c r="D114" s="42">
        <f>IFERROR(SUMIFS('01_売上入力'!E:E,'01_売上入力'!A:A,A114),"")</f>
        <v/>
      </c>
      <c r="E114" s="42">
        <f>IFERROR(IF(B114="","",IF(B114=0,"-",C114/B114)),"")</f>
        <v/>
      </c>
      <c r="F114" s="41">
        <f>IFERROR(SUMIFS('04_廃棄入力'!E:E,'04_廃棄入力'!A:A,A114),"")</f>
        <v/>
      </c>
    </row>
    <row r="115" ht="18" customHeight="1">
      <c r="A115" s="39" t="n"/>
      <c r="B115" s="40" t="n"/>
      <c r="C115" s="41">
        <f>IFERROR(SUMIFS('01_売上入力'!G:G,'01_売上入力'!A:A,A115),"")</f>
        <v/>
      </c>
      <c r="D115" s="42">
        <f>IFERROR(SUMIFS('01_売上入力'!E:E,'01_売上入力'!A:A,A115),"")</f>
        <v/>
      </c>
      <c r="E115" s="42">
        <f>IFERROR(IF(B115="","",IF(B115=0,"-",C115/B115)),"")</f>
        <v/>
      </c>
      <c r="F115" s="41">
        <f>IFERROR(SUMIFS('04_廃棄入力'!E:E,'04_廃棄入力'!A:A,A115),"")</f>
        <v/>
      </c>
    </row>
    <row r="116" ht="18" customHeight="1">
      <c r="A116" s="39" t="n"/>
      <c r="B116" s="40" t="n"/>
      <c r="C116" s="41">
        <f>IFERROR(SUMIFS('01_売上入力'!G:G,'01_売上入力'!A:A,A116),"")</f>
        <v/>
      </c>
      <c r="D116" s="42">
        <f>IFERROR(SUMIFS('01_売上入力'!E:E,'01_売上入力'!A:A,A116),"")</f>
        <v/>
      </c>
      <c r="E116" s="42">
        <f>IFERROR(IF(B116="","",IF(B116=0,"-",C116/B116)),"")</f>
        <v/>
      </c>
      <c r="F116" s="41">
        <f>IFERROR(SUMIFS('04_廃棄入力'!E:E,'04_廃棄入力'!A:A,A116),"")</f>
        <v/>
      </c>
    </row>
    <row r="117" ht="18" customHeight="1">
      <c r="A117" s="39" t="n"/>
      <c r="B117" s="40" t="n"/>
      <c r="C117" s="41">
        <f>IFERROR(SUMIFS('01_売上入力'!G:G,'01_売上入力'!A:A,A117),"")</f>
        <v/>
      </c>
      <c r="D117" s="42">
        <f>IFERROR(SUMIFS('01_売上入力'!E:E,'01_売上入力'!A:A,A117),"")</f>
        <v/>
      </c>
      <c r="E117" s="42">
        <f>IFERROR(IF(B117="","",IF(B117=0,"-",C117/B117)),"")</f>
        <v/>
      </c>
      <c r="F117" s="41">
        <f>IFERROR(SUMIFS('04_廃棄入力'!E:E,'04_廃棄入力'!A:A,A117),"")</f>
        <v/>
      </c>
    </row>
    <row r="118" ht="18" customHeight="1">
      <c r="A118" s="39" t="n"/>
      <c r="B118" s="40" t="n"/>
      <c r="C118" s="41">
        <f>IFERROR(SUMIFS('01_売上入力'!G:G,'01_売上入力'!A:A,A118),"")</f>
        <v/>
      </c>
      <c r="D118" s="42">
        <f>IFERROR(SUMIFS('01_売上入力'!E:E,'01_売上入力'!A:A,A118),"")</f>
        <v/>
      </c>
      <c r="E118" s="42">
        <f>IFERROR(IF(B118="","",IF(B118=0,"-",C118/B118)),"")</f>
        <v/>
      </c>
      <c r="F118" s="41">
        <f>IFERROR(SUMIFS('04_廃棄入力'!E:E,'04_廃棄入力'!A:A,A118),"")</f>
        <v/>
      </c>
    </row>
    <row r="119" ht="18" customHeight="1">
      <c r="A119" s="39" t="n"/>
      <c r="B119" s="40" t="n"/>
      <c r="C119" s="41">
        <f>IFERROR(SUMIFS('01_売上入力'!G:G,'01_売上入力'!A:A,A119),"")</f>
        <v/>
      </c>
      <c r="D119" s="42">
        <f>IFERROR(SUMIFS('01_売上入力'!E:E,'01_売上入力'!A:A,A119),"")</f>
        <v/>
      </c>
      <c r="E119" s="42">
        <f>IFERROR(IF(B119="","",IF(B119=0,"-",C119/B119)),"")</f>
        <v/>
      </c>
      <c r="F119" s="41">
        <f>IFERROR(SUMIFS('04_廃棄入力'!E:E,'04_廃棄入力'!A:A,A119),"")</f>
        <v/>
      </c>
    </row>
    <row r="120" ht="18" customHeight="1">
      <c r="A120" s="39" t="n"/>
      <c r="B120" s="40" t="n"/>
      <c r="C120" s="41">
        <f>IFERROR(SUMIFS('01_売上入力'!G:G,'01_売上入力'!A:A,A120),"")</f>
        <v/>
      </c>
      <c r="D120" s="42">
        <f>IFERROR(SUMIFS('01_売上入力'!E:E,'01_売上入力'!A:A,A120),"")</f>
        <v/>
      </c>
      <c r="E120" s="42">
        <f>IFERROR(IF(B120="","",IF(B120=0,"-",C120/B120)),"")</f>
        <v/>
      </c>
      <c r="F120" s="41">
        <f>IFERROR(SUMIFS('04_廃棄入力'!E:E,'04_廃棄入力'!A:A,A120),"")</f>
        <v/>
      </c>
    </row>
    <row r="121" ht="18" customHeight="1">
      <c r="A121" s="39" t="n"/>
      <c r="B121" s="40" t="n"/>
      <c r="C121" s="41">
        <f>IFERROR(SUMIFS('01_売上入力'!G:G,'01_売上入力'!A:A,A121),"")</f>
        <v/>
      </c>
      <c r="D121" s="42">
        <f>IFERROR(SUMIFS('01_売上入力'!E:E,'01_売上入力'!A:A,A121),"")</f>
        <v/>
      </c>
      <c r="E121" s="42">
        <f>IFERROR(IF(B121="","",IF(B121=0,"-",C121/B121)),"")</f>
        <v/>
      </c>
      <c r="F121" s="41">
        <f>IFERROR(SUMIFS('04_廃棄入力'!E:E,'04_廃棄入力'!A:A,A121),"")</f>
        <v/>
      </c>
    </row>
    <row r="122" ht="18" customHeight="1">
      <c r="A122" s="39" t="n"/>
      <c r="B122" s="40" t="n"/>
      <c r="C122" s="41">
        <f>IFERROR(SUMIFS('01_売上入力'!G:G,'01_売上入力'!A:A,A122),"")</f>
        <v/>
      </c>
      <c r="D122" s="42">
        <f>IFERROR(SUMIFS('01_売上入力'!E:E,'01_売上入力'!A:A,A122),"")</f>
        <v/>
      </c>
      <c r="E122" s="42">
        <f>IFERROR(IF(B122="","",IF(B122=0,"-",C122/B122)),"")</f>
        <v/>
      </c>
      <c r="F122" s="41">
        <f>IFERROR(SUMIFS('04_廃棄入力'!E:E,'04_廃棄入力'!A:A,A122),"")</f>
        <v/>
      </c>
    </row>
    <row r="123" ht="18" customHeight="1">
      <c r="A123" s="39" t="n"/>
      <c r="B123" s="40" t="n"/>
      <c r="C123" s="41">
        <f>IFERROR(SUMIFS('01_売上入力'!G:G,'01_売上入力'!A:A,A123),"")</f>
        <v/>
      </c>
      <c r="D123" s="42">
        <f>IFERROR(SUMIFS('01_売上入力'!E:E,'01_売上入力'!A:A,A123),"")</f>
        <v/>
      </c>
      <c r="E123" s="42">
        <f>IFERROR(IF(B123="","",IF(B123=0,"-",C123/B123)),"")</f>
        <v/>
      </c>
      <c r="F123" s="41">
        <f>IFERROR(SUMIFS('04_廃棄入力'!E:E,'04_廃棄入力'!A:A,A123),"")</f>
        <v/>
      </c>
    </row>
    <row r="124" ht="18" customHeight="1">
      <c r="A124" s="39" t="n"/>
      <c r="B124" s="40" t="n"/>
      <c r="C124" s="41">
        <f>IFERROR(SUMIFS('01_売上入力'!G:G,'01_売上入力'!A:A,A124),"")</f>
        <v/>
      </c>
      <c r="D124" s="42">
        <f>IFERROR(SUMIFS('01_売上入力'!E:E,'01_売上入力'!A:A,A124),"")</f>
        <v/>
      </c>
      <c r="E124" s="42">
        <f>IFERROR(IF(B124="","",IF(B124=0,"-",C124/B124)),"")</f>
        <v/>
      </c>
      <c r="F124" s="41">
        <f>IFERROR(SUMIFS('04_廃棄入力'!E:E,'04_廃棄入力'!A:A,A124),"")</f>
        <v/>
      </c>
    </row>
    <row r="125" ht="18" customHeight="1">
      <c r="A125" s="39" t="n"/>
      <c r="B125" s="40" t="n"/>
      <c r="C125" s="41">
        <f>IFERROR(SUMIFS('01_売上入力'!G:G,'01_売上入力'!A:A,A125),"")</f>
        <v/>
      </c>
      <c r="D125" s="42">
        <f>IFERROR(SUMIFS('01_売上入力'!E:E,'01_売上入力'!A:A,A125),"")</f>
        <v/>
      </c>
      <c r="E125" s="42">
        <f>IFERROR(IF(B125="","",IF(B125=0,"-",C125/B125)),"")</f>
        <v/>
      </c>
      <c r="F125" s="41">
        <f>IFERROR(SUMIFS('04_廃棄入力'!E:E,'04_廃棄入力'!A:A,A125),"")</f>
        <v/>
      </c>
    </row>
    <row r="126" ht="18" customHeight="1">
      <c r="A126" s="39" t="n"/>
      <c r="B126" s="40" t="n"/>
      <c r="C126" s="41">
        <f>IFERROR(SUMIFS('01_売上入力'!G:G,'01_売上入力'!A:A,A126),"")</f>
        <v/>
      </c>
      <c r="D126" s="42">
        <f>IFERROR(SUMIFS('01_売上入力'!E:E,'01_売上入力'!A:A,A126),"")</f>
        <v/>
      </c>
      <c r="E126" s="42">
        <f>IFERROR(IF(B126="","",IF(B126=0,"-",C126/B126)),"")</f>
        <v/>
      </c>
      <c r="F126" s="41">
        <f>IFERROR(SUMIFS('04_廃棄入力'!E:E,'04_廃棄入力'!A:A,A126),"")</f>
        <v/>
      </c>
    </row>
    <row r="127" ht="18" customHeight="1">
      <c r="A127" s="39" t="n"/>
      <c r="B127" s="40" t="n"/>
      <c r="C127" s="41">
        <f>IFERROR(SUMIFS('01_売上入力'!G:G,'01_売上入力'!A:A,A127),"")</f>
        <v/>
      </c>
      <c r="D127" s="42">
        <f>IFERROR(SUMIFS('01_売上入力'!E:E,'01_売上入力'!A:A,A127),"")</f>
        <v/>
      </c>
      <c r="E127" s="42">
        <f>IFERROR(IF(B127="","",IF(B127=0,"-",C127/B127)),"")</f>
        <v/>
      </c>
      <c r="F127" s="41">
        <f>IFERROR(SUMIFS('04_廃棄入力'!E:E,'04_廃棄入力'!A:A,A127),"")</f>
        <v/>
      </c>
    </row>
    <row r="128" ht="18" customHeight="1">
      <c r="A128" s="39" t="n"/>
      <c r="B128" s="40" t="n"/>
      <c r="C128" s="41">
        <f>IFERROR(SUMIFS('01_売上入力'!G:G,'01_売上入力'!A:A,A128),"")</f>
        <v/>
      </c>
      <c r="D128" s="42">
        <f>IFERROR(SUMIFS('01_売上入力'!E:E,'01_売上入力'!A:A,A128),"")</f>
        <v/>
      </c>
      <c r="E128" s="42">
        <f>IFERROR(IF(B128="","",IF(B128=0,"-",C128/B128)),"")</f>
        <v/>
      </c>
      <c r="F128" s="41">
        <f>IFERROR(SUMIFS('04_廃棄入力'!E:E,'04_廃棄入力'!A:A,A128),"")</f>
        <v/>
      </c>
    </row>
    <row r="129" ht="18" customHeight="1">
      <c r="A129" s="39" t="n"/>
      <c r="B129" s="40" t="n"/>
      <c r="C129" s="41">
        <f>IFERROR(SUMIFS('01_売上入力'!G:G,'01_売上入力'!A:A,A129),"")</f>
        <v/>
      </c>
      <c r="D129" s="42">
        <f>IFERROR(SUMIFS('01_売上入力'!E:E,'01_売上入力'!A:A,A129),"")</f>
        <v/>
      </c>
      <c r="E129" s="42">
        <f>IFERROR(IF(B129="","",IF(B129=0,"-",C129/B129)),"")</f>
        <v/>
      </c>
      <c r="F129" s="41">
        <f>IFERROR(SUMIFS('04_廃棄入力'!E:E,'04_廃棄入力'!A:A,A129),"")</f>
        <v/>
      </c>
    </row>
    <row r="130" ht="18" customHeight="1">
      <c r="A130" s="39" t="n"/>
      <c r="B130" s="40" t="n"/>
      <c r="C130" s="41">
        <f>IFERROR(SUMIFS('01_売上入力'!G:G,'01_売上入力'!A:A,A130),"")</f>
        <v/>
      </c>
      <c r="D130" s="42">
        <f>IFERROR(SUMIFS('01_売上入力'!E:E,'01_売上入力'!A:A,A130),"")</f>
        <v/>
      </c>
      <c r="E130" s="42">
        <f>IFERROR(IF(B130="","",IF(B130=0,"-",C130/B130)),"")</f>
        <v/>
      </c>
      <c r="F130" s="41">
        <f>IFERROR(SUMIFS('04_廃棄入力'!E:E,'04_廃棄入力'!A:A,A130),"")</f>
        <v/>
      </c>
    </row>
    <row r="131" ht="18" customHeight="1">
      <c r="A131" s="39" t="n"/>
      <c r="B131" s="40" t="n"/>
      <c r="C131" s="41">
        <f>IFERROR(SUMIFS('01_売上入力'!G:G,'01_売上入力'!A:A,A131),"")</f>
        <v/>
      </c>
      <c r="D131" s="42">
        <f>IFERROR(SUMIFS('01_売上入力'!E:E,'01_売上入力'!A:A,A131),"")</f>
        <v/>
      </c>
      <c r="E131" s="42">
        <f>IFERROR(IF(B131="","",IF(B131=0,"-",C131/B131)),"")</f>
        <v/>
      </c>
      <c r="F131" s="41">
        <f>IFERROR(SUMIFS('04_廃棄入力'!E:E,'04_廃棄入力'!A:A,A131),"")</f>
        <v/>
      </c>
    </row>
    <row r="132" ht="18" customHeight="1">
      <c r="A132" s="39" t="n"/>
      <c r="B132" s="40" t="n"/>
      <c r="C132" s="41">
        <f>IFERROR(SUMIFS('01_売上入力'!G:G,'01_売上入力'!A:A,A132),"")</f>
        <v/>
      </c>
      <c r="D132" s="42">
        <f>IFERROR(SUMIFS('01_売上入力'!E:E,'01_売上入力'!A:A,A132),"")</f>
        <v/>
      </c>
      <c r="E132" s="42">
        <f>IFERROR(IF(B132="","",IF(B132=0,"-",C132/B132)),"")</f>
        <v/>
      </c>
      <c r="F132" s="41">
        <f>IFERROR(SUMIFS('04_廃棄入力'!E:E,'04_廃棄入力'!A:A,A132),"")</f>
        <v/>
      </c>
    </row>
    <row r="133" ht="18" customHeight="1">
      <c r="A133" s="39" t="n"/>
      <c r="B133" s="40" t="n"/>
      <c r="C133" s="41">
        <f>IFERROR(SUMIFS('01_売上入力'!G:G,'01_売上入力'!A:A,A133),"")</f>
        <v/>
      </c>
      <c r="D133" s="42">
        <f>IFERROR(SUMIFS('01_売上入力'!E:E,'01_売上入力'!A:A,A133),"")</f>
        <v/>
      </c>
      <c r="E133" s="42">
        <f>IFERROR(IF(B133="","",IF(B133=0,"-",C133/B133)),"")</f>
        <v/>
      </c>
      <c r="F133" s="41">
        <f>IFERROR(SUMIFS('04_廃棄入力'!E:E,'04_廃棄入力'!A:A,A133),"")</f>
        <v/>
      </c>
    </row>
    <row r="134" ht="18" customHeight="1">
      <c r="A134" s="39" t="n"/>
      <c r="B134" s="40" t="n"/>
      <c r="C134" s="41">
        <f>IFERROR(SUMIFS('01_売上入力'!G:G,'01_売上入力'!A:A,A134),"")</f>
        <v/>
      </c>
      <c r="D134" s="42">
        <f>IFERROR(SUMIFS('01_売上入力'!E:E,'01_売上入力'!A:A,A134),"")</f>
        <v/>
      </c>
      <c r="E134" s="42">
        <f>IFERROR(IF(B134="","",IF(B134=0,"-",C134/B134)),"")</f>
        <v/>
      </c>
      <c r="F134" s="41">
        <f>IFERROR(SUMIFS('04_廃棄入力'!E:E,'04_廃棄入力'!A:A,A134),"")</f>
        <v/>
      </c>
    </row>
    <row r="135" ht="18" customHeight="1">
      <c r="A135" s="39" t="n"/>
      <c r="B135" s="40" t="n"/>
      <c r="C135" s="41">
        <f>IFERROR(SUMIFS('01_売上入力'!G:G,'01_売上入力'!A:A,A135),"")</f>
        <v/>
      </c>
      <c r="D135" s="42">
        <f>IFERROR(SUMIFS('01_売上入力'!E:E,'01_売上入力'!A:A,A135),"")</f>
        <v/>
      </c>
      <c r="E135" s="42">
        <f>IFERROR(IF(B135="","",IF(B135=0,"-",C135/B135)),"")</f>
        <v/>
      </c>
      <c r="F135" s="41">
        <f>IFERROR(SUMIFS('04_廃棄入力'!E:E,'04_廃棄入力'!A:A,A135),"")</f>
        <v/>
      </c>
    </row>
    <row r="136" ht="18" customHeight="1">
      <c r="A136" s="39" t="n"/>
      <c r="B136" s="40" t="n"/>
      <c r="C136" s="41">
        <f>IFERROR(SUMIFS('01_売上入力'!G:G,'01_売上入力'!A:A,A136),"")</f>
        <v/>
      </c>
      <c r="D136" s="42">
        <f>IFERROR(SUMIFS('01_売上入力'!E:E,'01_売上入力'!A:A,A136),"")</f>
        <v/>
      </c>
      <c r="E136" s="42">
        <f>IFERROR(IF(B136="","",IF(B136=0,"-",C136/B136)),"")</f>
        <v/>
      </c>
      <c r="F136" s="41">
        <f>IFERROR(SUMIFS('04_廃棄入力'!E:E,'04_廃棄入力'!A:A,A136),"")</f>
        <v/>
      </c>
    </row>
    <row r="137" ht="18" customHeight="1">
      <c r="A137" s="39" t="n"/>
      <c r="B137" s="40" t="n"/>
      <c r="C137" s="41">
        <f>IFERROR(SUMIFS('01_売上入力'!G:G,'01_売上入力'!A:A,A137),"")</f>
        <v/>
      </c>
      <c r="D137" s="42">
        <f>IFERROR(SUMIFS('01_売上入力'!E:E,'01_売上入力'!A:A,A137),"")</f>
        <v/>
      </c>
      <c r="E137" s="42">
        <f>IFERROR(IF(B137="","",IF(B137=0,"-",C137/B137)),"")</f>
        <v/>
      </c>
      <c r="F137" s="41">
        <f>IFERROR(SUMIFS('04_廃棄入力'!E:E,'04_廃棄入力'!A:A,A137),"")</f>
        <v/>
      </c>
    </row>
    <row r="138" ht="18" customHeight="1">
      <c r="A138" s="39" t="n"/>
      <c r="B138" s="40" t="n"/>
      <c r="C138" s="41">
        <f>IFERROR(SUMIFS('01_売上入力'!G:G,'01_売上入力'!A:A,A138),"")</f>
        <v/>
      </c>
      <c r="D138" s="42">
        <f>IFERROR(SUMIFS('01_売上入力'!E:E,'01_売上入力'!A:A,A138),"")</f>
        <v/>
      </c>
      <c r="E138" s="42">
        <f>IFERROR(IF(B138="","",IF(B138=0,"-",C138/B138)),"")</f>
        <v/>
      </c>
      <c r="F138" s="41">
        <f>IFERROR(SUMIFS('04_廃棄入力'!E:E,'04_廃棄入力'!A:A,A138),"")</f>
        <v/>
      </c>
    </row>
    <row r="139" ht="18" customHeight="1">
      <c r="A139" s="39" t="n"/>
      <c r="B139" s="40" t="n"/>
      <c r="C139" s="41">
        <f>IFERROR(SUMIFS('01_売上入力'!G:G,'01_売上入力'!A:A,A139),"")</f>
        <v/>
      </c>
      <c r="D139" s="42">
        <f>IFERROR(SUMIFS('01_売上入力'!E:E,'01_売上入力'!A:A,A139),"")</f>
        <v/>
      </c>
      <c r="E139" s="42">
        <f>IFERROR(IF(B139="","",IF(B139=0,"-",C139/B139)),"")</f>
        <v/>
      </c>
      <c r="F139" s="41">
        <f>IFERROR(SUMIFS('04_廃棄入力'!E:E,'04_廃棄入力'!A:A,A139),"")</f>
        <v/>
      </c>
    </row>
    <row r="140" ht="18" customHeight="1">
      <c r="A140" s="39" t="n"/>
      <c r="B140" s="40" t="n"/>
      <c r="C140" s="41">
        <f>IFERROR(SUMIFS('01_売上入力'!G:G,'01_売上入力'!A:A,A140),"")</f>
        <v/>
      </c>
      <c r="D140" s="42">
        <f>IFERROR(SUMIFS('01_売上入力'!E:E,'01_売上入力'!A:A,A140),"")</f>
        <v/>
      </c>
      <c r="E140" s="42">
        <f>IFERROR(IF(B140="","",IF(B140=0,"-",C140/B140)),"")</f>
        <v/>
      </c>
      <c r="F140" s="41">
        <f>IFERROR(SUMIFS('04_廃棄入力'!E:E,'04_廃棄入力'!A:A,A140),"")</f>
        <v/>
      </c>
    </row>
    <row r="141" ht="18" customHeight="1">
      <c r="A141" s="39" t="n"/>
      <c r="B141" s="40" t="n"/>
      <c r="C141" s="41">
        <f>IFERROR(SUMIFS('01_売上入力'!G:G,'01_売上入力'!A:A,A141),"")</f>
        <v/>
      </c>
      <c r="D141" s="42">
        <f>IFERROR(SUMIFS('01_売上入力'!E:E,'01_売上入力'!A:A,A141),"")</f>
        <v/>
      </c>
      <c r="E141" s="42">
        <f>IFERROR(IF(B141="","",IF(B141=0,"-",C141/B141)),"")</f>
        <v/>
      </c>
      <c r="F141" s="41">
        <f>IFERROR(SUMIFS('04_廃棄入力'!E:E,'04_廃棄入力'!A:A,A141),"")</f>
        <v/>
      </c>
    </row>
    <row r="142" ht="18" customHeight="1">
      <c r="A142" s="39" t="n"/>
      <c r="B142" s="40" t="n"/>
      <c r="C142" s="41">
        <f>IFERROR(SUMIFS('01_売上入力'!G:G,'01_売上入力'!A:A,A142),"")</f>
        <v/>
      </c>
      <c r="D142" s="42">
        <f>IFERROR(SUMIFS('01_売上入力'!E:E,'01_売上入力'!A:A,A142),"")</f>
        <v/>
      </c>
      <c r="E142" s="42">
        <f>IFERROR(IF(B142="","",IF(B142=0,"-",C142/B142)),"")</f>
        <v/>
      </c>
      <c r="F142" s="41">
        <f>IFERROR(SUMIFS('04_廃棄入力'!E:E,'04_廃棄入力'!A:A,A142),"")</f>
        <v/>
      </c>
    </row>
    <row r="143" ht="18" customHeight="1">
      <c r="A143" s="39" t="n"/>
      <c r="B143" s="40" t="n"/>
      <c r="C143" s="41">
        <f>IFERROR(SUMIFS('01_売上入力'!G:G,'01_売上入力'!A:A,A143),"")</f>
        <v/>
      </c>
      <c r="D143" s="42">
        <f>IFERROR(SUMIFS('01_売上入力'!E:E,'01_売上入力'!A:A,A143),"")</f>
        <v/>
      </c>
      <c r="E143" s="42">
        <f>IFERROR(IF(B143="","",IF(B143=0,"-",C143/B143)),"")</f>
        <v/>
      </c>
      <c r="F143" s="41">
        <f>IFERROR(SUMIFS('04_廃棄入力'!E:E,'04_廃棄入力'!A:A,A143),"")</f>
        <v/>
      </c>
    </row>
    <row r="144" ht="18" customHeight="1">
      <c r="A144" s="39" t="n"/>
      <c r="B144" s="40" t="n"/>
      <c r="C144" s="41">
        <f>IFERROR(SUMIFS('01_売上入力'!G:G,'01_売上入力'!A:A,A144),"")</f>
        <v/>
      </c>
      <c r="D144" s="42">
        <f>IFERROR(SUMIFS('01_売上入力'!E:E,'01_売上入力'!A:A,A144),"")</f>
        <v/>
      </c>
      <c r="E144" s="42">
        <f>IFERROR(IF(B144="","",IF(B144=0,"-",C144/B144)),"")</f>
        <v/>
      </c>
      <c r="F144" s="41">
        <f>IFERROR(SUMIFS('04_廃棄入力'!E:E,'04_廃棄入力'!A:A,A144),"")</f>
        <v/>
      </c>
    </row>
    <row r="145" ht="18" customHeight="1">
      <c r="A145" s="39" t="n"/>
      <c r="B145" s="40" t="n"/>
      <c r="C145" s="41">
        <f>IFERROR(SUMIFS('01_売上入力'!G:G,'01_売上入力'!A:A,A145),"")</f>
        <v/>
      </c>
      <c r="D145" s="42">
        <f>IFERROR(SUMIFS('01_売上入力'!E:E,'01_売上入力'!A:A,A145),"")</f>
        <v/>
      </c>
      <c r="E145" s="42">
        <f>IFERROR(IF(B145="","",IF(B145=0,"-",C145/B145)),"")</f>
        <v/>
      </c>
      <c r="F145" s="41">
        <f>IFERROR(SUMIFS('04_廃棄入力'!E:E,'04_廃棄入力'!A:A,A145),"")</f>
        <v/>
      </c>
    </row>
    <row r="146" ht="18" customHeight="1">
      <c r="A146" s="39" t="n"/>
      <c r="B146" s="40" t="n"/>
      <c r="C146" s="41">
        <f>IFERROR(SUMIFS('01_売上入力'!G:G,'01_売上入力'!A:A,A146),"")</f>
        <v/>
      </c>
      <c r="D146" s="42">
        <f>IFERROR(SUMIFS('01_売上入力'!E:E,'01_売上入力'!A:A,A146),"")</f>
        <v/>
      </c>
      <c r="E146" s="42">
        <f>IFERROR(IF(B146="","",IF(B146=0,"-",C146/B146)),"")</f>
        <v/>
      </c>
      <c r="F146" s="41">
        <f>IFERROR(SUMIFS('04_廃棄入力'!E:E,'04_廃棄入力'!A:A,A146),"")</f>
        <v/>
      </c>
    </row>
    <row r="147" ht="18" customHeight="1">
      <c r="A147" s="39" t="n"/>
      <c r="B147" s="40" t="n"/>
      <c r="C147" s="41">
        <f>IFERROR(SUMIFS('01_売上入力'!G:G,'01_売上入力'!A:A,A147),"")</f>
        <v/>
      </c>
      <c r="D147" s="42">
        <f>IFERROR(SUMIFS('01_売上入力'!E:E,'01_売上入力'!A:A,A147),"")</f>
        <v/>
      </c>
      <c r="E147" s="42">
        <f>IFERROR(IF(B147="","",IF(B147=0,"-",C147/B147)),"")</f>
        <v/>
      </c>
      <c r="F147" s="41">
        <f>IFERROR(SUMIFS('04_廃棄入力'!E:E,'04_廃棄入力'!A:A,A147),"")</f>
        <v/>
      </c>
    </row>
    <row r="148" ht="18" customHeight="1">
      <c r="A148" s="39" t="n"/>
      <c r="B148" s="40" t="n"/>
      <c r="C148" s="41">
        <f>IFERROR(SUMIFS('01_売上入力'!G:G,'01_売上入力'!A:A,A148),"")</f>
        <v/>
      </c>
      <c r="D148" s="42">
        <f>IFERROR(SUMIFS('01_売上入力'!E:E,'01_売上入力'!A:A,A148),"")</f>
        <v/>
      </c>
      <c r="E148" s="42">
        <f>IFERROR(IF(B148="","",IF(B148=0,"-",C148/B148)),"")</f>
        <v/>
      </c>
      <c r="F148" s="41">
        <f>IFERROR(SUMIFS('04_廃棄入力'!E:E,'04_廃棄入力'!A:A,A148),"")</f>
        <v/>
      </c>
    </row>
    <row r="149" ht="18" customHeight="1">
      <c r="A149" s="39" t="n"/>
      <c r="B149" s="40" t="n"/>
      <c r="C149" s="41">
        <f>IFERROR(SUMIFS('01_売上入力'!G:G,'01_売上入力'!A:A,A149),"")</f>
        <v/>
      </c>
      <c r="D149" s="42">
        <f>IFERROR(SUMIFS('01_売上入力'!E:E,'01_売上入力'!A:A,A149),"")</f>
        <v/>
      </c>
      <c r="E149" s="42">
        <f>IFERROR(IF(B149="","",IF(B149=0,"-",C149/B149)),"")</f>
        <v/>
      </c>
      <c r="F149" s="41">
        <f>IFERROR(SUMIFS('04_廃棄入力'!E:E,'04_廃棄入力'!A:A,A149),"")</f>
        <v/>
      </c>
    </row>
    <row r="150" ht="18" customHeight="1">
      <c r="A150" s="39" t="n"/>
      <c r="B150" s="40" t="n"/>
      <c r="C150" s="41">
        <f>IFERROR(SUMIFS('01_売上入力'!G:G,'01_売上入力'!A:A,A150),"")</f>
        <v/>
      </c>
      <c r="D150" s="42">
        <f>IFERROR(SUMIFS('01_売上入力'!E:E,'01_売上入力'!A:A,A150),"")</f>
        <v/>
      </c>
      <c r="E150" s="42">
        <f>IFERROR(IF(B150="","",IF(B150=0,"-",C150/B150)),"")</f>
        <v/>
      </c>
      <c r="F150" s="41">
        <f>IFERROR(SUMIFS('04_廃棄入力'!E:E,'04_廃棄入力'!A:A,A150),"")</f>
        <v/>
      </c>
    </row>
    <row r="151" ht="18" customHeight="1">
      <c r="A151" s="39" t="n"/>
      <c r="B151" s="40" t="n"/>
      <c r="C151" s="41">
        <f>IFERROR(SUMIFS('01_売上入力'!G:G,'01_売上入力'!A:A,A151),"")</f>
        <v/>
      </c>
      <c r="D151" s="42">
        <f>IFERROR(SUMIFS('01_売上入力'!E:E,'01_売上入力'!A:A,A151),"")</f>
        <v/>
      </c>
      <c r="E151" s="42">
        <f>IFERROR(IF(B151="","",IF(B151=0,"-",C151/B151)),"")</f>
        <v/>
      </c>
      <c r="F151" s="41">
        <f>IFERROR(SUMIFS('04_廃棄入力'!E:E,'04_廃棄入力'!A:A,A151),"")</f>
        <v/>
      </c>
    </row>
    <row r="152" ht="18" customHeight="1">
      <c r="A152" s="39" t="n"/>
      <c r="B152" s="40" t="n"/>
      <c r="C152" s="41">
        <f>IFERROR(SUMIFS('01_売上入力'!G:G,'01_売上入力'!A:A,A152),"")</f>
        <v/>
      </c>
      <c r="D152" s="42">
        <f>IFERROR(SUMIFS('01_売上入力'!E:E,'01_売上入力'!A:A,A152),"")</f>
        <v/>
      </c>
      <c r="E152" s="42">
        <f>IFERROR(IF(B152="","",IF(B152=0,"-",C152/B152)),"")</f>
        <v/>
      </c>
      <c r="F152" s="41">
        <f>IFERROR(SUMIFS('04_廃棄入力'!E:E,'04_廃棄入力'!A:A,A152),"")</f>
        <v/>
      </c>
    </row>
    <row r="153" ht="18" customHeight="1">
      <c r="A153" s="39" t="n"/>
      <c r="B153" s="40" t="n"/>
      <c r="C153" s="41">
        <f>IFERROR(SUMIFS('01_売上入力'!G:G,'01_売上入力'!A:A,A153),"")</f>
        <v/>
      </c>
      <c r="D153" s="42">
        <f>IFERROR(SUMIFS('01_売上入力'!E:E,'01_売上入力'!A:A,A153),"")</f>
        <v/>
      </c>
      <c r="E153" s="42">
        <f>IFERROR(IF(B153="","",IF(B153=0,"-",C153/B153)),"")</f>
        <v/>
      </c>
      <c r="F153" s="41">
        <f>IFERROR(SUMIFS('04_廃棄入力'!E:E,'04_廃棄入力'!A:A,A153),"")</f>
        <v/>
      </c>
    </row>
    <row r="154" ht="18" customHeight="1">
      <c r="A154" s="39" t="n"/>
      <c r="B154" s="40" t="n"/>
      <c r="C154" s="41">
        <f>IFERROR(SUMIFS('01_売上入力'!G:G,'01_売上入力'!A:A,A154),"")</f>
        <v/>
      </c>
      <c r="D154" s="42">
        <f>IFERROR(SUMIFS('01_売上入力'!E:E,'01_売上入力'!A:A,A154),"")</f>
        <v/>
      </c>
      <c r="E154" s="42">
        <f>IFERROR(IF(B154="","",IF(B154=0,"-",C154/B154)),"")</f>
        <v/>
      </c>
      <c r="F154" s="41">
        <f>IFERROR(SUMIFS('04_廃棄入力'!E:E,'04_廃棄入力'!A:A,A154),"")</f>
        <v/>
      </c>
    </row>
    <row r="155" ht="18" customHeight="1">
      <c r="A155" s="39" t="n"/>
      <c r="B155" s="40" t="n"/>
      <c r="C155" s="41">
        <f>IFERROR(SUMIFS('01_売上入力'!G:G,'01_売上入力'!A:A,A155),"")</f>
        <v/>
      </c>
      <c r="D155" s="42">
        <f>IFERROR(SUMIFS('01_売上入力'!E:E,'01_売上入力'!A:A,A155),"")</f>
        <v/>
      </c>
      <c r="E155" s="42">
        <f>IFERROR(IF(B155="","",IF(B155=0,"-",C155/B155)),"")</f>
        <v/>
      </c>
      <c r="F155" s="41">
        <f>IFERROR(SUMIFS('04_廃棄入力'!E:E,'04_廃棄入力'!A:A,A155),"")</f>
        <v/>
      </c>
    </row>
    <row r="156" ht="18" customHeight="1">
      <c r="A156" s="39" t="n"/>
      <c r="B156" s="40" t="n"/>
      <c r="C156" s="41">
        <f>IFERROR(SUMIFS('01_売上入力'!G:G,'01_売上入力'!A:A,A156),"")</f>
        <v/>
      </c>
      <c r="D156" s="42">
        <f>IFERROR(SUMIFS('01_売上入力'!E:E,'01_売上入力'!A:A,A156),"")</f>
        <v/>
      </c>
      <c r="E156" s="42">
        <f>IFERROR(IF(B156="","",IF(B156=0,"-",C156/B156)),"")</f>
        <v/>
      </c>
      <c r="F156" s="41">
        <f>IFERROR(SUMIFS('04_廃棄入力'!E:E,'04_廃棄入力'!A:A,A156),"")</f>
        <v/>
      </c>
    </row>
    <row r="157" ht="18" customHeight="1">
      <c r="A157" s="39" t="n"/>
      <c r="B157" s="40" t="n"/>
      <c r="C157" s="41">
        <f>IFERROR(SUMIFS('01_売上入力'!G:G,'01_売上入力'!A:A,A157),"")</f>
        <v/>
      </c>
      <c r="D157" s="42">
        <f>IFERROR(SUMIFS('01_売上入力'!E:E,'01_売上入力'!A:A,A157),"")</f>
        <v/>
      </c>
      <c r="E157" s="42">
        <f>IFERROR(IF(B157="","",IF(B157=0,"-",C157/B157)),"")</f>
        <v/>
      </c>
      <c r="F157" s="41">
        <f>IFERROR(SUMIFS('04_廃棄入力'!E:E,'04_廃棄入力'!A:A,A157),"")</f>
        <v/>
      </c>
    </row>
    <row r="158" ht="18" customHeight="1">
      <c r="A158" s="39" t="n"/>
      <c r="B158" s="40" t="n"/>
      <c r="C158" s="41">
        <f>IFERROR(SUMIFS('01_売上入力'!G:G,'01_売上入力'!A:A,A158),"")</f>
        <v/>
      </c>
      <c r="D158" s="42">
        <f>IFERROR(SUMIFS('01_売上入力'!E:E,'01_売上入力'!A:A,A158),"")</f>
        <v/>
      </c>
      <c r="E158" s="42">
        <f>IFERROR(IF(B158="","",IF(B158=0,"-",C158/B158)),"")</f>
        <v/>
      </c>
      <c r="F158" s="41">
        <f>IFERROR(SUMIFS('04_廃棄入力'!E:E,'04_廃棄入力'!A:A,A158),"")</f>
        <v/>
      </c>
    </row>
    <row r="159" ht="18" customHeight="1">
      <c r="A159" s="39" t="n"/>
      <c r="B159" s="40" t="n"/>
      <c r="C159" s="41">
        <f>IFERROR(SUMIFS('01_売上入力'!G:G,'01_売上入力'!A:A,A159),"")</f>
        <v/>
      </c>
      <c r="D159" s="42">
        <f>IFERROR(SUMIFS('01_売上入力'!E:E,'01_売上入力'!A:A,A159),"")</f>
        <v/>
      </c>
      <c r="E159" s="42">
        <f>IFERROR(IF(B159="","",IF(B159=0,"-",C159/B159)),"")</f>
        <v/>
      </c>
      <c r="F159" s="41">
        <f>IFERROR(SUMIFS('04_廃棄入力'!E:E,'04_廃棄入力'!A:A,A159),"")</f>
        <v/>
      </c>
    </row>
    <row r="160" ht="18" customHeight="1">
      <c r="A160" s="39" t="n"/>
      <c r="B160" s="40" t="n"/>
      <c r="C160" s="41">
        <f>IFERROR(SUMIFS('01_売上入力'!G:G,'01_売上入力'!A:A,A160),"")</f>
        <v/>
      </c>
      <c r="D160" s="42">
        <f>IFERROR(SUMIFS('01_売上入力'!E:E,'01_売上入力'!A:A,A160),"")</f>
        <v/>
      </c>
      <c r="E160" s="42">
        <f>IFERROR(IF(B160="","",IF(B160=0,"-",C160/B160)),"")</f>
        <v/>
      </c>
      <c r="F160" s="41">
        <f>IFERROR(SUMIFS('04_廃棄入力'!E:E,'04_廃棄入力'!A:A,A160),"")</f>
        <v/>
      </c>
    </row>
    <row r="161" ht="18" customHeight="1">
      <c r="A161" s="39" t="n"/>
      <c r="B161" s="40" t="n"/>
      <c r="C161" s="41">
        <f>IFERROR(SUMIFS('01_売上入力'!G:G,'01_売上入力'!A:A,A161),"")</f>
        <v/>
      </c>
      <c r="D161" s="42">
        <f>IFERROR(SUMIFS('01_売上入力'!E:E,'01_売上入力'!A:A,A161),"")</f>
        <v/>
      </c>
      <c r="E161" s="42">
        <f>IFERROR(IF(B161="","",IF(B161=0,"-",C161/B161)),"")</f>
        <v/>
      </c>
      <c r="F161" s="41">
        <f>IFERROR(SUMIFS('04_廃棄入力'!E:E,'04_廃棄入力'!A:A,A161),"")</f>
        <v/>
      </c>
    </row>
    <row r="162" ht="18" customHeight="1">
      <c r="A162" s="39" t="n"/>
      <c r="B162" s="40" t="n"/>
      <c r="C162" s="41">
        <f>IFERROR(SUMIFS('01_売上入力'!G:G,'01_売上入力'!A:A,A162),"")</f>
        <v/>
      </c>
      <c r="D162" s="42">
        <f>IFERROR(SUMIFS('01_売上入力'!E:E,'01_売上入力'!A:A,A162),"")</f>
        <v/>
      </c>
      <c r="E162" s="42">
        <f>IFERROR(IF(B162="","",IF(B162=0,"-",C162/B162)),"")</f>
        <v/>
      </c>
      <c r="F162" s="41">
        <f>IFERROR(SUMIFS('04_廃棄入力'!E:E,'04_廃棄入力'!A:A,A162),"")</f>
        <v/>
      </c>
    </row>
    <row r="163" ht="18" customHeight="1">
      <c r="A163" s="39" t="n"/>
      <c r="B163" s="40" t="n"/>
      <c r="C163" s="41">
        <f>IFERROR(SUMIFS('01_売上入力'!G:G,'01_売上入力'!A:A,A163),"")</f>
        <v/>
      </c>
      <c r="D163" s="42">
        <f>IFERROR(SUMIFS('01_売上入力'!E:E,'01_売上入力'!A:A,A163),"")</f>
        <v/>
      </c>
      <c r="E163" s="42">
        <f>IFERROR(IF(B163="","",IF(B163=0,"-",C163/B163)),"")</f>
        <v/>
      </c>
      <c r="F163" s="41">
        <f>IFERROR(SUMIFS('04_廃棄入力'!E:E,'04_廃棄入力'!A:A,A163),"")</f>
        <v/>
      </c>
    </row>
    <row r="164" ht="18" customHeight="1">
      <c r="A164" s="39" t="n"/>
      <c r="B164" s="40" t="n"/>
      <c r="C164" s="41">
        <f>IFERROR(SUMIFS('01_売上入力'!G:G,'01_売上入力'!A:A,A164),"")</f>
        <v/>
      </c>
      <c r="D164" s="42">
        <f>IFERROR(SUMIFS('01_売上入力'!E:E,'01_売上入力'!A:A,A164),"")</f>
        <v/>
      </c>
      <c r="E164" s="42">
        <f>IFERROR(IF(B164="","",IF(B164=0,"-",C164/B164)),"")</f>
        <v/>
      </c>
      <c r="F164" s="41">
        <f>IFERROR(SUMIFS('04_廃棄入力'!E:E,'04_廃棄入力'!A:A,A164),"")</f>
        <v/>
      </c>
    </row>
    <row r="165" ht="18" customHeight="1">
      <c r="A165" s="39" t="n"/>
      <c r="B165" s="40" t="n"/>
      <c r="C165" s="41">
        <f>IFERROR(SUMIFS('01_売上入力'!G:G,'01_売上入力'!A:A,A165),"")</f>
        <v/>
      </c>
      <c r="D165" s="42">
        <f>IFERROR(SUMIFS('01_売上入力'!E:E,'01_売上入力'!A:A,A165),"")</f>
        <v/>
      </c>
      <c r="E165" s="42">
        <f>IFERROR(IF(B165="","",IF(B165=0,"-",C165/B165)),"")</f>
        <v/>
      </c>
      <c r="F165" s="41">
        <f>IFERROR(SUMIFS('04_廃棄入力'!E:E,'04_廃棄入力'!A:A,A165),"")</f>
        <v/>
      </c>
    </row>
    <row r="166" ht="18" customHeight="1">
      <c r="A166" s="39" t="n"/>
      <c r="B166" s="40" t="n"/>
      <c r="C166" s="41">
        <f>IFERROR(SUMIFS('01_売上入力'!G:G,'01_売上入力'!A:A,A166),"")</f>
        <v/>
      </c>
      <c r="D166" s="42">
        <f>IFERROR(SUMIFS('01_売上入力'!E:E,'01_売上入力'!A:A,A166),"")</f>
        <v/>
      </c>
      <c r="E166" s="42">
        <f>IFERROR(IF(B166="","",IF(B166=0,"-",C166/B166)),"")</f>
        <v/>
      </c>
      <c r="F166" s="41">
        <f>IFERROR(SUMIFS('04_廃棄入力'!E:E,'04_廃棄入力'!A:A,A166),"")</f>
        <v/>
      </c>
    </row>
    <row r="167" ht="18" customHeight="1">
      <c r="A167" s="39" t="n"/>
      <c r="B167" s="40" t="n"/>
      <c r="C167" s="41">
        <f>IFERROR(SUMIFS('01_売上入力'!G:G,'01_売上入力'!A:A,A167),"")</f>
        <v/>
      </c>
      <c r="D167" s="42">
        <f>IFERROR(SUMIFS('01_売上入力'!E:E,'01_売上入力'!A:A,A167),"")</f>
        <v/>
      </c>
      <c r="E167" s="42">
        <f>IFERROR(IF(B167="","",IF(B167=0,"-",C167/B167)),"")</f>
        <v/>
      </c>
      <c r="F167" s="41">
        <f>IFERROR(SUMIFS('04_廃棄入力'!E:E,'04_廃棄入力'!A:A,A167),"")</f>
        <v/>
      </c>
    </row>
    <row r="168" ht="18" customHeight="1">
      <c r="A168" s="39" t="n"/>
      <c r="B168" s="40" t="n"/>
      <c r="C168" s="41">
        <f>IFERROR(SUMIFS('01_売上入力'!G:G,'01_売上入力'!A:A,A168),"")</f>
        <v/>
      </c>
      <c r="D168" s="42">
        <f>IFERROR(SUMIFS('01_売上入力'!E:E,'01_売上入力'!A:A,A168),"")</f>
        <v/>
      </c>
      <c r="E168" s="42">
        <f>IFERROR(IF(B168="","",IF(B168=0,"-",C168/B168)),"")</f>
        <v/>
      </c>
      <c r="F168" s="41">
        <f>IFERROR(SUMIFS('04_廃棄入力'!E:E,'04_廃棄入力'!A:A,A168),"")</f>
        <v/>
      </c>
    </row>
    <row r="169" ht="18" customHeight="1">
      <c r="A169" s="39" t="n"/>
      <c r="B169" s="40" t="n"/>
      <c r="C169" s="41">
        <f>IFERROR(SUMIFS('01_売上入力'!G:G,'01_売上入力'!A:A,A169),"")</f>
        <v/>
      </c>
      <c r="D169" s="42">
        <f>IFERROR(SUMIFS('01_売上入力'!E:E,'01_売上入力'!A:A,A169),"")</f>
        <v/>
      </c>
      <c r="E169" s="42">
        <f>IFERROR(IF(B169="","",IF(B169=0,"-",C169/B169)),"")</f>
        <v/>
      </c>
      <c r="F169" s="41">
        <f>IFERROR(SUMIFS('04_廃棄入力'!E:E,'04_廃棄入力'!A:A,A169),"")</f>
        <v/>
      </c>
    </row>
    <row r="170" ht="18" customHeight="1">
      <c r="A170" s="39" t="n"/>
      <c r="B170" s="40" t="n"/>
      <c r="C170" s="41">
        <f>IFERROR(SUMIFS('01_売上入力'!G:G,'01_売上入力'!A:A,A170),"")</f>
        <v/>
      </c>
      <c r="D170" s="42">
        <f>IFERROR(SUMIFS('01_売上入力'!E:E,'01_売上入力'!A:A,A170),"")</f>
        <v/>
      </c>
      <c r="E170" s="42">
        <f>IFERROR(IF(B170="","",IF(B170=0,"-",C170/B170)),"")</f>
        <v/>
      </c>
      <c r="F170" s="41">
        <f>IFERROR(SUMIFS('04_廃棄入力'!E:E,'04_廃棄入力'!A:A,A170),"")</f>
        <v/>
      </c>
    </row>
    <row r="171" ht="18" customHeight="1">
      <c r="A171" s="39" t="n"/>
      <c r="B171" s="40" t="n"/>
      <c r="C171" s="41">
        <f>IFERROR(SUMIFS('01_売上入力'!G:G,'01_売上入力'!A:A,A171),"")</f>
        <v/>
      </c>
      <c r="D171" s="42">
        <f>IFERROR(SUMIFS('01_売上入力'!E:E,'01_売上入力'!A:A,A171),"")</f>
        <v/>
      </c>
      <c r="E171" s="42">
        <f>IFERROR(IF(B171="","",IF(B171=0,"-",C171/B171)),"")</f>
        <v/>
      </c>
      <c r="F171" s="41">
        <f>IFERROR(SUMIFS('04_廃棄入力'!E:E,'04_廃棄入力'!A:A,A171),"")</f>
        <v/>
      </c>
    </row>
    <row r="172" ht="18" customHeight="1">
      <c r="A172" s="39" t="n"/>
      <c r="B172" s="40" t="n"/>
      <c r="C172" s="41">
        <f>IFERROR(SUMIFS('01_売上入力'!G:G,'01_売上入力'!A:A,A172),"")</f>
        <v/>
      </c>
      <c r="D172" s="42">
        <f>IFERROR(SUMIFS('01_売上入力'!E:E,'01_売上入力'!A:A,A172),"")</f>
        <v/>
      </c>
      <c r="E172" s="42">
        <f>IFERROR(IF(B172="","",IF(B172=0,"-",C172/B172)),"")</f>
        <v/>
      </c>
      <c r="F172" s="41">
        <f>IFERROR(SUMIFS('04_廃棄入力'!E:E,'04_廃棄入力'!A:A,A172),"")</f>
        <v/>
      </c>
    </row>
    <row r="173" ht="18" customHeight="1">
      <c r="A173" s="39" t="n"/>
      <c r="B173" s="40" t="n"/>
      <c r="C173" s="41">
        <f>IFERROR(SUMIFS('01_売上入力'!G:G,'01_売上入力'!A:A,A173),"")</f>
        <v/>
      </c>
      <c r="D173" s="42">
        <f>IFERROR(SUMIFS('01_売上入力'!E:E,'01_売上入力'!A:A,A173),"")</f>
        <v/>
      </c>
      <c r="E173" s="42">
        <f>IFERROR(IF(B173="","",IF(B173=0,"-",C173/B173)),"")</f>
        <v/>
      </c>
      <c r="F173" s="41">
        <f>IFERROR(SUMIFS('04_廃棄入力'!E:E,'04_廃棄入力'!A:A,A173),"")</f>
        <v/>
      </c>
    </row>
    <row r="174" ht="18" customHeight="1">
      <c r="A174" s="39" t="n"/>
      <c r="B174" s="40" t="n"/>
      <c r="C174" s="41">
        <f>IFERROR(SUMIFS('01_売上入力'!G:G,'01_売上入力'!A:A,A174),"")</f>
        <v/>
      </c>
      <c r="D174" s="42">
        <f>IFERROR(SUMIFS('01_売上入力'!E:E,'01_売上入力'!A:A,A174),"")</f>
        <v/>
      </c>
      <c r="E174" s="42">
        <f>IFERROR(IF(B174="","",IF(B174=0,"-",C174/B174)),"")</f>
        <v/>
      </c>
      <c r="F174" s="41">
        <f>IFERROR(SUMIFS('04_廃棄入力'!E:E,'04_廃棄入力'!A:A,A174),"")</f>
        <v/>
      </c>
    </row>
    <row r="175" ht="18" customHeight="1">
      <c r="A175" s="39" t="n"/>
      <c r="B175" s="40" t="n"/>
      <c r="C175" s="41">
        <f>IFERROR(SUMIFS('01_売上入力'!G:G,'01_売上入力'!A:A,A175),"")</f>
        <v/>
      </c>
      <c r="D175" s="42">
        <f>IFERROR(SUMIFS('01_売上入力'!E:E,'01_売上入力'!A:A,A175),"")</f>
        <v/>
      </c>
      <c r="E175" s="42">
        <f>IFERROR(IF(B175="","",IF(B175=0,"-",C175/B175)),"")</f>
        <v/>
      </c>
      <c r="F175" s="41">
        <f>IFERROR(SUMIFS('04_廃棄入力'!E:E,'04_廃棄入力'!A:A,A175),"")</f>
        <v/>
      </c>
    </row>
    <row r="176" ht="18" customHeight="1">
      <c r="A176" s="39" t="n"/>
      <c r="B176" s="40" t="n"/>
      <c r="C176" s="41">
        <f>IFERROR(SUMIFS('01_売上入力'!G:G,'01_売上入力'!A:A,A176),"")</f>
        <v/>
      </c>
      <c r="D176" s="42">
        <f>IFERROR(SUMIFS('01_売上入力'!E:E,'01_売上入力'!A:A,A176),"")</f>
        <v/>
      </c>
      <c r="E176" s="42">
        <f>IFERROR(IF(B176="","",IF(B176=0,"-",C176/B176)),"")</f>
        <v/>
      </c>
      <c r="F176" s="41">
        <f>IFERROR(SUMIFS('04_廃棄入力'!E:E,'04_廃棄入力'!A:A,A176),"")</f>
        <v/>
      </c>
    </row>
    <row r="177" ht="18" customHeight="1">
      <c r="A177" s="39" t="n"/>
      <c r="B177" s="40" t="n"/>
      <c r="C177" s="41">
        <f>IFERROR(SUMIFS('01_売上入力'!G:G,'01_売上入力'!A:A,A177),"")</f>
        <v/>
      </c>
      <c r="D177" s="42">
        <f>IFERROR(SUMIFS('01_売上入力'!E:E,'01_売上入力'!A:A,A177),"")</f>
        <v/>
      </c>
      <c r="E177" s="42">
        <f>IFERROR(IF(B177="","",IF(B177=0,"-",C177/B177)),"")</f>
        <v/>
      </c>
      <c r="F177" s="41">
        <f>IFERROR(SUMIFS('04_廃棄入力'!E:E,'04_廃棄入力'!A:A,A177),"")</f>
        <v/>
      </c>
    </row>
    <row r="178" ht="18" customHeight="1">
      <c r="A178" s="39" t="n"/>
      <c r="B178" s="40" t="n"/>
      <c r="C178" s="41">
        <f>IFERROR(SUMIFS('01_売上入力'!G:G,'01_売上入力'!A:A,A178),"")</f>
        <v/>
      </c>
      <c r="D178" s="42">
        <f>IFERROR(SUMIFS('01_売上入力'!E:E,'01_売上入力'!A:A,A178),"")</f>
        <v/>
      </c>
      <c r="E178" s="42">
        <f>IFERROR(IF(B178="","",IF(B178=0,"-",C178/B178)),"")</f>
        <v/>
      </c>
      <c r="F178" s="41">
        <f>IFERROR(SUMIFS('04_廃棄入力'!E:E,'04_廃棄入力'!A:A,A178),"")</f>
        <v/>
      </c>
    </row>
    <row r="179" ht="18" customHeight="1">
      <c r="A179" s="39" t="n"/>
      <c r="B179" s="40" t="n"/>
      <c r="C179" s="41">
        <f>IFERROR(SUMIFS('01_売上入力'!G:G,'01_売上入力'!A:A,A179),"")</f>
        <v/>
      </c>
      <c r="D179" s="42">
        <f>IFERROR(SUMIFS('01_売上入力'!E:E,'01_売上入力'!A:A,A179),"")</f>
        <v/>
      </c>
      <c r="E179" s="42">
        <f>IFERROR(IF(B179="","",IF(B179=0,"-",C179/B179)),"")</f>
        <v/>
      </c>
      <c r="F179" s="41">
        <f>IFERROR(SUMIFS('04_廃棄入力'!E:E,'04_廃棄入力'!A:A,A179),"")</f>
        <v/>
      </c>
    </row>
    <row r="180" ht="18" customHeight="1">
      <c r="A180" s="39" t="n"/>
      <c r="B180" s="40" t="n"/>
      <c r="C180" s="41">
        <f>IFERROR(SUMIFS('01_売上入力'!G:G,'01_売上入力'!A:A,A180),"")</f>
        <v/>
      </c>
      <c r="D180" s="42">
        <f>IFERROR(SUMIFS('01_売上入力'!E:E,'01_売上入力'!A:A,A180),"")</f>
        <v/>
      </c>
      <c r="E180" s="42">
        <f>IFERROR(IF(B180="","",IF(B180=0,"-",C180/B180)),"")</f>
        <v/>
      </c>
      <c r="F180" s="41">
        <f>IFERROR(SUMIFS('04_廃棄入力'!E:E,'04_廃棄入力'!A:A,A180),"")</f>
        <v/>
      </c>
    </row>
    <row r="181" ht="18" customHeight="1">
      <c r="A181" s="39" t="n"/>
      <c r="B181" s="40" t="n"/>
      <c r="C181" s="41">
        <f>IFERROR(SUMIFS('01_売上入力'!G:G,'01_売上入力'!A:A,A181),"")</f>
        <v/>
      </c>
      <c r="D181" s="42">
        <f>IFERROR(SUMIFS('01_売上入力'!E:E,'01_売上入力'!A:A,A181),"")</f>
        <v/>
      </c>
      <c r="E181" s="42">
        <f>IFERROR(IF(B181="","",IF(B181=0,"-",C181/B181)),"")</f>
        <v/>
      </c>
      <c r="F181" s="41">
        <f>IFERROR(SUMIFS('04_廃棄入力'!E:E,'04_廃棄入力'!A:A,A181),"")</f>
        <v/>
      </c>
    </row>
    <row r="182" ht="18" customHeight="1">
      <c r="A182" s="39" t="n"/>
      <c r="B182" s="40" t="n"/>
      <c r="C182" s="41">
        <f>IFERROR(SUMIFS('01_売上入力'!G:G,'01_売上入力'!A:A,A182),"")</f>
        <v/>
      </c>
      <c r="D182" s="42">
        <f>IFERROR(SUMIFS('01_売上入力'!E:E,'01_売上入力'!A:A,A182),"")</f>
        <v/>
      </c>
      <c r="E182" s="42">
        <f>IFERROR(IF(B182="","",IF(B182=0,"-",C182/B182)),"")</f>
        <v/>
      </c>
      <c r="F182" s="41">
        <f>IFERROR(SUMIFS('04_廃棄入力'!E:E,'04_廃棄入力'!A:A,A182),"")</f>
        <v/>
      </c>
    </row>
    <row r="183" ht="18" customHeight="1">
      <c r="A183" s="39" t="n"/>
      <c r="B183" s="40" t="n"/>
      <c r="C183" s="41">
        <f>IFERROR(SUMIFS('01_売上入力'!G:G,'01_売上入力'!A:A,A183),"")</f>
        <v/>
      </c>
      <c r="D183" s="42">
        <f>IFERROR(SUMIFS('01_売上入力'!E:E,'01_売上入力'!A:A,A183),"")</f>
        <v/>
      </c>
      <c r="E183" s="42">
        <f>IFERROR(IF(B183="","",IF(B183=0,"-",C183/B183)),"")</f>
        <v/>
      </c>
      <c r="F183" s="41">
        <f>IFERROR(SUMIFS('04_廃棄入力'!E:E,'04_廃棄入力'!A:A,A183),"")</f>
        <v/>
      </c>
    </row>
    <row r="184" ht="18" customHeight="1">
      <c r="A184" s="39" t="n"/>
      <c r="B184" s="40" t="n"/>
      <c r="C184" s="41">
        <f>IFERROR(SUMIFS('01_売上入力'!G:G,'01_売上入力'!A:A,A184),"")</f>
        <v/>
      </c>
      <c r="D184" s="42">
        <f>IFERROR(SUMIFS('01_売上入力'!E:E,'01_売上入力'!A:A,A184),"")</f>
        <v/>
      </c>
      <c r="E184" s="42">
        <f>IFERROR(IF(B184="","",IF(B184=0,"-",C184/B184)),"")</f>
        <v/>
      </c>
      <c r="F184" s="41">
        <f>IFERROR(SUMIFS('04_廃棄入力'!E:E,'04_廃棄入力'!A:A,A184),"")</f>
        <v/>
      </c>
    </row>
    <row r="185" ht="18" customHeight="1">
      <c r="A185" s="39" t="n"/>
      <c r="B185" s="40" t="n"/>
      <c r="C185" s="41">
        <f>IFERROR(SUMIFS('01_売上入力'!G:G,'01_売上入力'!A:A,A185),"")</f>
        <v/>
      </c>
      <c r="D185" s="42">
        <f>IFERROR(SUMIFS('01_売上入力'!E:E,'01_売上入力'!A:A,A185),"")</f>
        <v/>
      </c>
      <c r="E185" s="42">
        <f>IFERROR(IF(B185="","",IF(B185=0,"-",C185/B185)),"")</f>
        <v/>
      </c>
      <c r="F185" s="41">
        <f>IFERROR(SUMIFS('04_廃棄入力'!E:E,'04_廃棄入力'!A:A,A185),"")</f>
        <v/>
      </c>
    </row>
    <row r="186" ht="18" customHeight="1">
      <c r="A186" s="39" t="n"/>
      <c r="B186" s="40" t="n"/>
      <c r="C186" s="41">
        <f>IFERROR(SUMIFS('01_売上入力'!G:G,'01_売上入力'!A:A,A186),"")</f>
        <v/>
      </c>
      <c r="D186" s="42">
        <f>IFERROR(SUMIFS('01_売上入力'!E:E,'01_売上入力'!A:A,A186),"")</f>
        <v/>
      </c>
      <c r="E186" s="42">
        <f>IFERROR(IF(B186="","",IF(B186=0,"-",C186/B186)),"")</f>
        <v/>
      </c>
      <c r="F186" s="41">
        <f>IFERROR(SUMIFS('04_廃棄入力'!E:E,'04_廃棄入力'!A:A,A186),"")</f>
        <v/>
      </c>
    </row>
    <row r="187" ht="18" customHeight="1">
      <c r="A187" s="39" t="n"/>
      <c r="B187" s="40" t="n"/>
      <c r="C187" s="41">
        <f>IFERROR(SUMIFS('01_売上入力'!G:G,'01_売上入力'!A:A,A187),"")</f>
        <v/>
      </c>
      <c r="D187" s="42">
        <f>IFERROR(SUMIFS('01_売上入力'!E:E,'01_売上入力'!A:A,A187),"")</f>
        <v/>
      </c>
      <c r="E187" s="42">
        <f>IFERROR(IF(B187="","",IF(B187=0,"-",C187/B187)),"")</f>
        <v/>
      </c>
      <c r="F187" s="41">
        <f>IFERROR(SUMIFS('04_廃棄入力'!E:E,'04_廃棄入力'!A:A,A187),"")</f>
        <v/>
      </c>
    </row>
    <row r="188" ht="18" customHeight="1">
      <c r="A188" s="39" t="n"/>
      <c r="B188" s="40" t="n"/>
      <c r="C188" s="41">
        <f>IFERROR(SUMIFS('01_売上入力'!G:G,'01_売上入力'!A:A,A188),"")</f>
        <v/>
      </c>
      <c r="D188" s="42">
        <f>IFERROR(SUMIFS('01_売上入力'!E:E,'01_売上入力'!A:A,A188),"")</f>
        <v/>
      </c>
      <c r="E188" s="42">
        <f>IFERROR(IF(B188="","",IF(B188=0,"-",C188/B188)),"")</f>
        <v/>
      </c>
      <c r="F188" s="41">
        <f>IFERROR(SUMIFS('04_廃棄入力'!E:E,'04_廃棄入力'!A:A,A188),"")</f>
        <v/>
      </c>
    </row>
    <row r="189" ht="18" customHeight="1">
      <c r="A189" s="39" t="n"/>
      <c r="B189" s="40" t="n"/>
      <c r="C189" s="41">
        <f>IFERROR(SUMIFS('01_売上入力'!G:G,'01_売上入力'!A:A,A189),"")</f>
        <v/>
      </c>
      <c r="D189" s="42">
        <f>IFERROR(SUMIFS('01_売上入力'!E:E,'01_売上入力'!A:A,A189),"")</f>
        <v/>
      </c>
      <c r="E189" s="42">
        <f>IFERROR(IF(B189="","",IF(B189=0,"-",C189/B189)),"")</f>
        <v/>
      </c>
      <c r="F189" s="41">
        <f>IFERROR(SUMIFS('04_廃棄入力'!E:E,'04_廃棄入力'!A:A,A189),"")</f>
        <v/>
      </c>
    </row>
    <row r="190" ht="18" customHeight="1">
      <c r="A190" s="39" t="n"/>
      <c r="B190" s="40" t="n"/>
      <c r="C190" s="41">
        <f>IFERROR(SUMIFS('01_売上入力'!G:G,'01_売上入力'!A:A,A190),"")</f>
        <v/>
      </c>
      <c r="D190" s="42">
        <f>IFERROR(SUMIFS('01_売上入力'!E:E,'01_売上入力'!A:A,A190),"")</f>
        <v/>
      </c>
      <c r="E190" s="42">
        <f>IFERROR(IF(B190="","",IF(B190=0,"-",C190/B190)),"")</f>
        <v/>
      </c>
      <c r="F190" s="41">
        <f>IFERROR(SUMIFS('04_廃棄入力'!E:E,'04_廃棄入力'!A:A,A190),"")</f>
        <v/>
      </c>
    </row>
    <row r="191" ht="18" customHeight="1">
      <c r="A191" s="39" t="n"/>
      <c r="B191" s="40" t="n"/>
      <c r="C191" s="41">
        <f>IFERROR(SUMIFS('01_売上入力'!G:G,'01_売上入力'!A:A,A191),"")</f>
        <v/>
      </c>
      <c r="D191" s="42">
        <f>IFERROR(SUMIFS('01_売上入力'!E:E,'01_売上入力'!A:A,A191),"")</f>
        <v/>
      </c>
      <c r="E191" s="42">
        <f>IFERROR(IF(B191="","",IF(B191=0,"-",C191/B191)),"")</f>
        <v/>
      </c>
      <c r="F191" s="41">
        <f>IFERROR(SUMIFS('04_廃棄入力'!E:E,'04_廃棄入力'!A:A,A191),"")</f>
        <v/>
      </c>
    </row>
    <row r="192" ht="18" customHeight="1">
      <c r="A192" s="39" t="n"/>
      <c r="B192" s="40" t="n"/>
      <c r="C192" s="41">
        <f>IFERROR(SUMIFS('01_売上入力'!G:G,'01_売上入力'!A:A,A192),"")</f>
        <v/>
      </c>
      <c r="D192" s="42">
        <f>IFERROR(SUMIFS('01_売上入力'!E:E,'01_売上入力'!A:A,A192),"")</f>
        <v/>
      </c>
      <c r="E192" s="42">
        <f>IFERROR(IF(B192="","",IF(B192=0,"-",C192/B192)),"")</f>
        <v/>
      </c>
      <c r="F192" s="41">
        <f>IFERROR(SUMIFS('04_廃棄入力'!E:E,'04_廃棄入力'!A:A,A192),"")</f>
        <v/>
      </c>
    </row>
    <row r="193" ht="18" customHeight="1">
      <c r="A193" s="39" t="n"/>
      <c r="B193" s="40" t="n"/>
      <c r="C193" s="41">
        <f>IFERROR(SUMIFS('01_売上入力'!G:G,'01_売上入力'!A:A,A193),"")</f>
        <v/>
      </c>
      <c r="D193" s="42">
        <f>IFERROR(SUMIFS('01_売上入力'!E:E,'01_売上入力'!A:A,A193),"")</f>
        <v/>
      </c>
      <c r="E193" s="42">
        <f>IFERROR(IF(B193="","",IF(B193=0,"-",C193/B193)),"")</f>
        <v/>
      </c>
      <c r="F193" s="41">
        <f>IFERROR(SUMIFS('04_廃棄入力'!E:E,'04_廃棄入力'!A:A,A193),"")</f>
        <v/>
      </c>
    </row>
    <row r="194" ht="18" customHeight="1">
      <c r="A194" s="39" t="n"/>
      <c r="B194" s="40" t="n"/>
      <c r="C194" s="41">
        <f>IFERROR(SUMIFS('01_売上入力'!G:G,'01_売上入力'!A:A,A194),"")</f>
        <v/>
      </c>
      <c r="D194" s="42">
        <f>IFERROR(SUMIFS('01_売上入力'!E:E,'01_売上入力'!A:A,A194),"")</f>
        <v/>
      </c>
      <c r="E194" s="42">
        <f>IFERROR(IF(B194="","",IF(B194=0,"-",C194/B194)),"")</f>
        <v/>
      </c>
      <c r="F194" s="41">
        <f>IFERROR(SUMIFS('04_廃棄入力'!E:E,'04_廃棄入力'!A:A,A194),"")</f>
        <v/>
      </c>
    </row>
    <row r="195" ht="18" customHeight="1">
      <c r="A195" s="39" t="n"/>
      <c r="B195" s="40" t="n"/>
      <c r="C195" s="41">
        <f>IFERROR(SUMIFS('01_売上入力'!G:G,'01_売上入力'!A:A,A195),"")</f>
        <v/>
      </c>
      <c r="D195" s="42">
        <f>IFERROR(SUMIFS('01_売上入力'!E:E,'01_売上入力'!A:A,A195),"")</f>
        <v/>
      </c>
      <c r="E195" s="42">
        <f>IFERROR(IF(B195="","",IF(B195=0,"-",C195/B195)),"")</f>
        <v/>
      </c>
      <c r="F195" s="41">
        <f>IFERROR(SUMIFS('04_廃棄入力'!E:E,'04_廃棄入力'!A:A,A195),"")</f>
        <v/>
      </c>
    </row>
    <row r="196" ht="18" customHeight="1">
      <c r="A196" s="39" t="n"/>
      <c r="B196" s="40" t="n"/>
      <c r="C196" s="41">
        <f>IFERROR(SUMIFS('01_売上入力'!G:G,'01_売上入力'!A:A,A196),"")</f>
        <v/>
      </c>
      <c r="D196" s="42">
        <f>IFERROR(SUMIFS('01_売上入力'!E:E,'01_売上入力'!A:A,A196),"")</f>
        <v/>
      </c>
      <c r="E196" s="42">
        <f>IFERROR(IF(B196="","",IF(B196=0,"-",C196/B196)),"")</f>
        <v/>
      </c>
      <c r="F196" s="41">
        <f>IFERROR(SUMIFS('04_廃棄入力'!E:E,'04_廃棄入力'!A:A,A196),"")</f>
        <v/>
      </c>
    </row>
    <row r="197" ht="18" customHeight="1">
      <c r="A197" s="39" t="n"/>
      <c r="B197" s="40" t="n"/>
      <c r="C197" s="41">
        <f>IFERROR(SUMIFS('01_売上入力'!G:G,'01_売上入力'!A:A,A197),"")</f>
        <v/>
      </c>
      <c r="D197" s="42">
        <f>IFERROR(SUMIFS('01_売上入力'!E:E,'01_売上入力'!A:A,A197),"")</f>
        <v/>
      </c>
      <c r="E197" s="42">
        <f>IFERROR(IF(B197="","",IF(B197=0,"-",C197/B197)),"")</f>
        <v/>
      </c>
      <c r="F197" s="41">
        <f>IFERROR(SUMIFS('04_廃棄入力'!E:E,'04_廃棄入力'!A:A,A197),"")</f>
        <v/>
      </c>
    </row>
    <row r="198" ht="18" customHeight="1">
      <c r="A198" s="39" t="n"/>
      <c r="B198" s="40" t="n"/>
      <c r="C198" s="41">
        <f>IFERROR(SUMIFS('01_売上入力'!G:G,'01_売上入力'!A:A,A198),"")</f>
        <v/>
      </c>
      <c r="D198" s="42">
        <f>IFERROR(SUMIFS('01_売上入力'!E:E,'01_売上入力'!A:A,A198),"")</f>
        <v/>
      </c>
      <c r="E198" s="42">
        <f>IFERROR(IF(B198="","",IF(B198=0,"-",C198/B198)),"")</f>
        <v/>
      </c>
      <c r="F198" s="41">
        <f>IFERROR(SUMIFS('04_廃棄入力'!E:E,'04_廃棄入力'!A:A,A198),"")</f>
        <v/>
      </c>
    </row>
    <row r="199" ht="18" customHeight="1">
      <c r="A199" s="39" t="n"/>
      <c r="B199" s="40" t="n"/>
      <c r="C199" s="41">
        <f>IFERROR(SUMIFS('01_売上入力'!G:G,'01_売上入力'!A:A,A199),"")</f>
        <v/>
      </c>
      <c r="D199" s="42">
        <f>IFERROR(SUMIFS('01_売上入力'!E:E,'01_売上入力'!A:A,A199),"")</f>
        <v/>
      </c>
      <c r="E199" s="42">
        <f>IFERROR(IF(B199="","",IF(B199=0,"-",C199/B199)),"")</f>
        <v/>
      </c>
      <c r="F199" s="41">
        <f>IFERROR(SUMIFS('04_廃棄入力'!E:E,'04_廃棄入力'!A:A,A199),"")</f>
        <v/>
      </c>
    </row>
    <row r="200" ht="18" customHeight="1">
      <c r="A200" s="39" t="n"/>
      <c r="B200" s="40" t="n"/>
      <c r="C200" s="41">
        <f>IFERROR(SUMIFS('01_売上入力'!G:G,'01_売上入力'!A:A,A200),"")</f>
        <v/>
      </c>
      <c r="D200" s="42">
        <f>IFERROR(SUMIFS('01_売上入力'!E:E,'01_売上入力'!A:A,A200),"")</f>
        <v/>
      </c>
      <c r="E200" s="42">
        <f>IFERROR(IF(B200="","",IF(B200=0,"-",C200/B200)),"")</f>
        <v/>
      </c>
      <c r="F200" s="41">
        <f>IFERROR(SUMIFS('04_廃棄入力'!E:E,'04_廃棄入力'!A:A,A200),"")</f>
        <v/>
      </c>
    </row>
    <row r="201" ht="18" customHeight="1">
      <c r="A201" s="39" t="n"/>
      <c r="B201" s="40" t="n"/>
      <c r="C201" s="41">
        <f>IFERROR(SUMIFS('01_売上入力'!G:G,'01_売上入力'!A:A,A201),"")</f>
        <v/>
      </c>
      <c r="D201" s="42">
        <f>IFERROR(SUMIFS('01_売上入力'!E:E,'01_売上入力'!A:A,A201),"")</f>
        <v/>
      </c>
      <c r="E201" s="42">
        <f>IFERROR(IF(B201="","",IF(B201=0,"-",C201/B201)),"")</f>
        <v/>
      </c>
      <c r="F201" s="41">
        <f>IFERROR(SUMIFS('04_廃棄入力'!E:E,'04_廃棄入力'!A:A,A201),"")</f>
        <v/>
      </c>
    </row>
    <row r="202" ht="18" customHeight="1">
      <c r="A202" s="39" t="n"/>
      <c r="B202" s="40" t="n"/>
      <c r="C202" s="41">
        <f>IFERROR(SUMIFS('01_売上入力'!G:G,'01_売上入力'!A:A,A202),"")</f>
        <v/>
      </c>
      <c r="D202" s="42">
        <f>IFERROR(SUMIFS('01_売上入力'!E:E,'01_売上入力'!A:A,A202),"")</f>
        <v/>
      </c>
      <c r="E202" s="42">
        <f>IFERROR(IF(B202="","",IF(B202=0,"-",C202/B202)),"")</f>
        <v/>
      </c>
      <c r="F202" s="41">
        <f>IFERROR(SUMIFS('04_廃棄入力'!E:E,'04_廃棄入力'!A:A,A202),"")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F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6" customWidth="1" min="5" max="5"/>
    <col width="14" customWidth="1" min="6" max="6"/>
  </cols>
  <sheetData>
    <row r="1" ht="24" customHeight="1">
      <c r="A1" s="1" t="inlineStr">
        <is>
          <t>月次サマリ　―　月別：月商・客数・客単価・廃棄率</t>
        </is>
      </c>
    </row>
    <row r="2">
      <c r="A2" s="34" t="inlineStr">
        <is>
          <t>年月</t>
        </is>
      </c>
      <c r="B2" s="2" t="inlineStr">
        <is>
          <t>月商 (円)</t>
        </is>
      </c>
      <c r="C2" s="2" t="inlineStr">
        <is>
          <t>販売個数</t>
        </is>
      </c>
      <c r="D2" s="35" t="inlineStr">
        <is>
          <t>客数</t>
        </is>
      </c>
      <c r="E2" s="36" t="inlineStr">
        <is>
          <t>客単価 (円/人)</t>
        </is>
      </c>
      <c r="F2" s="16" t="inlineStr">
        <is>
          <t>廃棄金額 (円)</t>
        </is>
      </c>
    </row>
    <row r="3" ht="18" customHeight="1">
      <c r="A3" s="32" t="inlineStr">
        <is>
          <t>2024/06</t>
        </is>
      </c>
      <c r="B3" s="7">
        <f>IFERROR(SUMPRODUCT((TEXT('01_売上入力'!A3:A200,"YYYY/MM")=A3)*('01_売上入力'!G3:G200)),0)</f>
        <v/>
      </c>
      <c r="C3" s="20">
        <f>IFERROR(SUMPRODUCT((TEXT('01_売上入力'!A3:A200,"YYYY/MM")=A3)*('01_売上入力'!E3:E200)),0)</f>
        <v/>
      </c>
      <c r="D3" s="43">
        <f>IFERROR(IF(D3=0,"-",B3/D3),"-")</f>
        <v/>
      </c>
      <c r="E3" s="7">
        <f>IFERROR(SUMPRODUCT((TEXT('04_廃棄入力'!A3:A200,"YYYY/MM")=A3)*('04_廃棄入力'!E3:E200)),0)</f>
        <v/>
      </c>
    </row>
    <row r="4" ht="18" customHeight="1">
      <c r="A4" s="24" t="n"/>
      <c r="B4" s="26">
        <f>IFERROR(SUMPRODUCT((TEXT('01_売上入力'!A3:A200,"YYYY/MM")=A4)*('01_売上入力'!G3:G200)),"")</f>
        <v/>
      </c>
      <c r="C4" s="44">
        <f>IFERROR(SUMPRODUCT((TEXT('01_売上入力'!A3:A200,"YYYY/MM")=A4)*('01_売上入力'!E3:E200)),"")</f>
        <v/>
      </c>
      <c r="D4" s="40" t="n"/>
      <c r="E4" s="44">
        <f>IFERROR(IF(D4="","",IF(D4=0,"-",B4/D4)),"")</f>
        <v/>
      </c>
      <c r="F4" s="26">
        <f>IFERROR(SUMPRODUCT((TEXT('04_廃棄入力'!A3:A200,"YYYY/MM")=A4)*('04_廃棄入力'!E3:E200)),"")</f>
        <v/>
      </c>
    </row>
    <row r="5" ht="18" customHeight="1">
      <c r="A5" s="24" t="n"/>
      <c r="B5" s="26">
        <f>IFERROR(SUMPRODUCT((TEXT('01_売上入力'!A3:A200,"YYYY/MM")=A5)*('01_売上入力'!G3:G200)),"")</f>
        <v/>
      </c>
      <c r="C5" s="44">
        <f>IFERROR(SUMPRODUCT((TEXT('01_売上入力'!A3:A200,"YYYY/MM")=A5)*('01_売上入力'!E3:E200)),"")</f>
        <v/>
      </c>
      <c r="D5" s="40" t="n"/>
      <c r="E5" s="44">
        <f>IFERROR(IF(D5="","",IF(D5=0,"-",B5/D5)),"")</f>
        <v/>
      </c>
      <c r="F5" s="26">
        <f>IFERROR(SUMPRODUCT((TEXT('04_廃棄入力'!A3:A200,"YYYY/MM")=A5)*('04_廃棄入力'!E3:E200)),"")</f>
        <v/>
      </c>
    </row>
    <row r="6" ht="18" customHeight="1">
      <c r="A6" s="24" t="n"/>
      <c r="B6" s="26">
        <f>IFERROR(SUMPRODUCT((TEXT('01_売上入力'!A3:A200,"YYYY/MM")=A6)*('01_売上入力'!G3:G200)),"")</f>
        <v/>
      </c>
      <c r="C6" s="44">
        <f>IFERROR(SUMPRODUCT((TEXT('01_売上入力'!A3:A200,"YYYY/MM")=A6)*('01_売上入力'!E3:E200)),"")</f>
        <v/>
      </c>
      <c r="D6" s="40" t="n"/>
      <c r="E6" s="44">
        <f>IFERROR(IF(D6="","",IF(D6=0,"-",B6/D6)),"")</f>
        <v/>
      </c>
      <c r="F6" s="26">
        <f>IFERROR(SUMPRODUCT((TEXT('04_廃棄入力'!A3:A200,"YYYY/MM")=A6)*('04_廃棄入力'!E3:E200)),"")</f>
        <v/>
      </c>
    </row>
    <row r="7" ht="18" customHeight="1">
      <c r="A7" s="24" t="n"/>
      <c r="B7" s="26">
        <f>IFERROR(SUMPRODUCT((TEXT('01_売上入力'!A3:A200,"YYYY/MM")=A7)*('01_売上入力'!G3:G200)),"")</f>
        <v/>
      </c>
      <c r="C7" s="44">
        <f>IFERROR(SUMPRODUCT((TEXT('01_売上入力'!A3:A200,"YYYY/MM")=A7)*('01_売上入力'!E3:E200)),"")</f>
        <v/>
      </c>
      <c r="D7" s="40" t="n"/>
      <c r="E7" s="44">
        <f>IFERROR(IF(D7="","",IF(D7=0,"-",B7/D7)),"")</f>
        <v/>
      </c>
      <c r="F7" s="26">
        <f>IFERROR(SUMPRODUCT((TEXT('04_廃棄入力'!A3:A200,"YYYY/MM")=A7)*('04_廃棄入力'!E3:E200)),"")</f>
        <v/>
      </c>
    </row>
    <row r="8" ht="18" customHeight="1">
      <c r="A8" s="24" t="n"/>
      <c r="B8" s="26">
        <f>IFERROR(SUMPRODUCT((TEXT('01_売上入力'!A3:A200,"YYYY/MM")=A8)*('01_売上入力'!G3:G200)),"")</f>
        <v/>
      </c>
      <c r="C8" s="44">
        <f>IFERROR(SUMPRODUCT((TEXT('01_売上入力'!A3:A200,"YYYY/MM")=A8)*('01_売上入力'!E3:E200)),"")</f>
        <v/>
      </c>
      <c r="D8" s="40" t="n"/>
      <c r="E8" s="44">
        <f>IFERROR(IF(D8="","",IF(D8=0,"-",B8/D8)),"")</f>
        <v/>
      </c>
      <c r="F8" s="26">
        <f>IFERROR(SUMPRODUCT((TEXT('04_廃棄入力'!A3:A200,"YYYY/MM")=A8)*('04_廃棄入力'!E3:E200)),"")</f>
        <v/>
      </c>
    </row>
    <row r="9" ht="18" customHeight="1">
      <c r="A9" s="24" t="n"/>
      <c r="B9" s="26">
        <f>IFERROR(SUMPRODUCT((TEXT('01_売上入力'!A3:A200,"YYYY/MM")=A9)*('01_売上入力'!G3:G200)),"")</f>
        <v/>
      </c>
      <c r="C9" s="44">
        <f>IFERROR(SUMPRODUCT((TEXT('01_売上入力'!A3:A200,"YYYY/MM")=A9)*('01_売上入力'!E3:E200)),"")</f>
        <v/>
      </c>
      <c r="D9" s="40" t="n"/>
      <c r="E9" s="44">
        <f>IFERROR(IF(D9="","",IF(D9=0,"-",B9/D9)),"")</f>
        <v/>
      </c>
      <c r="F9" s="26">
        <f>IFERROR(SUMPRODUCT((TEXT('04_廃棄入力'!A3:A200,"YYYY/MM")=A9)*('04_廃棄入力'!E3:E200)),"")</f>
        <v/>
      </c>
    </row>
    <row r="10" ht="18" customHeight="1">
      <c r="A10" s="24" t="n"/>
      <c r="B10" s="26">
        <f>IFERROR(SUMPRODUCT((TEXT('01_売上入力'!A3:A200,"YYYY/MM")=A10)*('01_売上入力'!G3:G200)),"")</f>
        <v/>
      </c>
      <c r="C10" s="44">
        <f>IFERROR(SUMPRODUCT((TEXT('01_売上入力'!A3:A200,"YYYY/MM")=A10)*('01_売上入力'!E3:E200)),"")</f>
        <v/>
      </c>
      <c r="D10" s="40" t="n"/>
      <c r="E10" s="44">
        <f>IFERROR(IF(D10="","",IF(D10=0,"-",B10/D10)),"")</f>
        <v/>
      </c>
      <c r="F10" s="26">
        <f>IFERROR(SUMPRODUCT((TEXT('04_廃棄入力'!A3:A200,"YYYY/MM")=A10)*('04_廃棄入力'!E3:E200)),"")</f>
        <v/>
      </c>
    </row>
    <row r="11" ht="18" customHeight="1">
      <c r="A11" s="24" t="n"/>
      <c r="B11" s="26">
        <f>IFERROR(SUMPRODUCT((TEXT('01_売上入力'!A3:A200,"YYYY/MM")=A11)*('01_売上入力'!G3:G200)),"")</f>
        <v/>
      </c>
      <c r="C11" s="44">
        <f>IFERROR(SUMPRODUCT((TEXT('01_売上入力'!A3:A200,"YYYY/MM")=A11)*('01_売上入力'!E3:E200)),"")</f>
        <v/>
      </c>
      <c r="D11" s="40" t="n"/>
      <c r="E11" s="44">
        <f>IFERROR(IF(D11="","",IF(D11=0,"-",B11/D11)),"")</f>
        <v/>
      </c>
      <c r="F11" s="26">
        <f>IFERROR(SUMPRODUCT((TEXT('04_廃棄入力'!A3:A200,"YYYY/MM")=A11)*('04_廃棄入力'!E3:E200)),"")</f>
        <v/>
      </c>
    </row>
    <row r="12" ht="18" customHeight="1">
      <c r="A12" s="24" t="n"/>
      <c r="B12" s="26">
        <f>IFERROR(SUMPRODUCT((TEXT('01_売上入力'!A3:A200,"YYYY/MM")=A12)*('01_売上入力'!G3:G200)),"")</f>
        <v/>
      </c>
      <c r="C12" s="44">
        <f>IFERROR(SUMPRODUCT((TEXT('01_売上入力'!A3:A200,"YYYY/MM")=A12)*('01_売上入力'!E3:E200)),"")</f>
        <v/>
      </c>
      <c r="D12" s="40" t="n"/>
      <c r="E12" s="44">
        <f>IFERROR(IF(D12="","",IF(D12=0,"-",B12/D12)),"")</f>
        <v/>
      </c>
      <c r="F12" s="26">
        <f>IFERROR(SUMPRODUCT((TEXT('04_廃棄入力'!A3:A200,"YYYY/MM")=A12)*('04_廃棄入力'!E3:E200)),"")</f>
        <v/>
      </c>
    </row>
    <row r="13" ht="18" customHeight="1">
      <c r="A13" s="24" t="n"/>
      <c r="B13" s="26">
        <f>IFERROR(SUMPRODUCT((TEXT('01_売上入力'!A3:A200,"YYYY/MM")=A13)*('01_売上入力'!G3:G200)),"")</f>
        <v/>
      </c>
      <c r="C13" s="44">
        <f>IFERROR(SUMPRODUCT((TEXT('01_売上入力'!A3:A200,"YYYY/MM")=A13)*('01_売上入力'!E3:E200)),"")</f>
        <v/>
      </c>
      <c r="D13" s="40" t="n"/>
      <c r="E13" s="44">
        <f>IFERROR(IF(D13="","",IF(D13=0,"-",B13/D13)),"")</f>
        <v/>
      </c>
      <c r="F13" s="26">
        <f>IFERROR(SUMPRODUCT((TEXT('04_廃棄入力'!A3:A200,"YYYY/MM")=A13)*('04_廃棄入力'!E3:E200)),"")</f>
        <v/>
      </c>
    </row>
    <row r="14" ht="18" customHeight="1">
      <c r="A14" s="24" t="n"/>
      <c r="B14" s="26">
        <f>IFERROR(SUMPRODUCT((TEXT('01_売上入力'!A3:A200,"YYYY/MM")=A14)*('01_売上入力'!G3:G200)),"")</f>
        <v/>
      </c>
      <c r="C14" s="44">
        <f>IFERROR(SUMPRODUCT((TEXT('01_売上入力'!A3:A200,"YYYY/MM")=A14)*('01_売上入力'!E3:E200)),"")</f>
        <v/>
      </c>
      <c r="D14" s="40" t="n"/>
      <c r="E14" s="44">
        <f>IFERROR(IF(D14="","",IF(D14=0,"-",B14/D14)),"")</f>
        <v/>
      </c>
      <c r="F14" s="26">
        <f>IFERROR(SUMPRODUCT((TEXT('04_廃棄入力'!A3:A200,"YYYY/MM")=A14)*('04_廃棄入力'!E3:E200)),"")</f>
        <v/>
      </c>
    </row>
    <row r="15" ht="18" customHeight="1">
      <c r="A15" s="24" t="n"/>
      <c r="B15" s="26">
        <f>IFERROR(SUMPRODUCT((TEXT('01_売上入力'!A3:A200,"YYYY/MM")=A15)*('01_売上入力'!G3:G200)),"")</f>
        <v/>
      </c>
      <c r="C15" s="44">
        <f>IFERROR(SUMPRODUCT((TEXT('01_売上入力'!A3:A200,"YYYY/MM")=A15)*('01_売上入力'!E3:E200)),"")</f>
        <v/>
      </c>
      <c r="D15" s="40" t="n"/>
      <c r="E15" s="44">
        <f>IFERROR(IF(D15="","",IF(D15=0,"-",B15/D15)),"")</f>
        <v/>
      </c>
      <c r="F15" s="26">
        <f>IFERROR(SUMPRODUCT((TEXT('04_廃棄入力'!A3:A200,"YYYY/MM")=A15)*('04_廃棄入力'!E3:E200)),"")</f>
        <v/>
      </c>
    </row>
    <row r="16" ht="18" customHeight="1">
      <c r="A16" s="24" t="n"/>
      <c r="B16" s="26">
        <f>IFERROR(SUMPRODUCT((TEXT('01_売上入力'!A3:A200,"YYYY/MM")=A16)*('01_売上入力'!G3:G200)),"")</f>
        <v/>
      </c>
      <c r="C16" s="44">
        <f>IFERROR(SUMPRODUCT((TEXT('01_売上入力'!A3:A200,"YYYY/MM")=A16)*('01_売上入力'!E3:E200)),"")</f>
        <v/>
      </c>
      <c r="D16" s="40" t="n"/>
      <c r="E16" s="44">
        <f>IFERROR(IF(D16="","",IF(D16=0,"-",B16/D16)),"")</f>
        <v/>
      </c>
      <c r="F16" s="26">
        <f>IFERROR(SUMPRODUCT((TEXT('04_廃棄入力'!A3:A200,"YYYY/MM")=A16)*('04_廃棄入力'!E3:E200)),"")</f>
        <v/>
      </c>
    </row>
    <row r="17" ht="18" customHeight="1">
      <c r="A17" s="24" t="n"/>
      <c r="B17" s="26">
        <f>IFERROR(SUMPRODUCT((TEXT('01_売上入力'!A3:A200,"YYYY/MM")=A17)*('01_売上入力'!G3:G200)),"")</f>
        <v/>
      </c>
      <c r="C17" s="44">
        <f>IFERROR(SUMPRODUCT((TEXT('01_売上入力'!A3:A200,"YYYY/MM")=A17)*('01_売上入力'!E3:E200)),"")</f>
        <v/>
      </c>
      <c r="D17" s="40" t="n"/>
      <c r="E17" s="44">
        <f>IFERROR(IF(D17="","",IF(D17=0,"-",B17/D17)),"")</f>
        <v/>
      </c>
      <c r="F17" s="26">
        <f>IFERROR(SUMPRODUCT((TEXT('04_廃棄入力'!A3:A200,"YYYY/MM")=A17)*('04_廃棄入力'!E3:E200)),"")</f>
        <v/>
      </c>
    </row>
    <row r="18" ht="18" customHeight="1">
      <c r="A18" s="24" t="n"/>
      <c r="B18" s="26">
        <f>IFERROR(SUMPRODUCT((TEXT('01_売上入力'!A3:A200,"YYYY/MM")=A18)*('01_売上入力'!G3:G200)),"")</f>
        <v/>
      </c>
      <c r="C18" s="44">
        <f>IFERROR(SUMPRODUCT((TEXT('01_売上入力'!A3:A200,"YYYY/MM")=A18)*('01_売上入力'!E3:E200)),"")</f>
        <v/>
      </c>
      <c r="D18" s="40" t="n"/>
      <c r="E18" s="44">
        <f>IFERROR(IF(D18="","",IF(D18=0,"-",B18/D18)),"")</f>
        <v/>
      </c>
      <c r="F18" s="26">
        <f>IFERROR(SUMPRODUCT((TEXT('04_廃棄入力'!A3:A200,"YYYY/MM")=A18)*('04_廃棄入力'!E3:E200)),"")</f>
        <v/>
      </c>
    </row>
    <row r="19" ht="18" customHeight="1">
      <c r="A19" s="24" t="n"/>
      <c r="B19" s="26">
        <f>IFERROR(SUMPRODUCT((TEXT('01_売上入力'!A3:A200,"YYYY/MM")=A19)*('01_売上入力'!G3:G200)),"")</f>
        <v/>
      </c>
      <c r="C19" s="44">
        <f>IFERROR(SUMPRODUCT((TEXT('01_売上入力'!A3:A200,"YYYY/MM")=A19)*('01_売上入力'!E3:E200)),"")</f>
        <v/>
      </c>
      <c r="D19" s="40" t="n"/>
      <c r="E19" s="44">
        <f>IFERROR(IF(D19="","",IF(D19=0,"-",B19/D19)),"")</f>
        <v/>
      </c>
      <c r="F19" s="26">
        <f>IFERROR(SUMPRODUCT((TEXT('04_廃棄入力'!A3:A200,"YYYY/MM")=A19)*('04_廃棄入力'!E3:E200)),"")</f>
        <v/>
      </c>
    </row>
    <row r="20" ht="18" customHeight="1">
      <c r="A20" s="24" t="n"/>
      <c r="B20" s="26">
        <f>IFERROR(SUMPRODUCT((TEXT('01_売上入力'!A3:A200,"YYYY/MM")=A20)*('01_売上入力'!G3:G200)),"")</f>
        <v/>
      </c>
      <c r="C20" s="44">
        <f>IFERROR(SUMPRODUCT((TEXT('01_売上入力'!A3:A200,"YYYY/MM")=A20)*('01_売上入力'!E3:E200)),"")</f>
        <v/>
      </c>
      <c r="D20" s="40" t="n"/>
      <c r="E20" s="44">
        <f>IFERROR(IF(D20="","",IF(D20=0,"-",B20/D20)),"")</f>
        <v/>
      </c>
      <c r="F20" s="26">
        <f>IFERROR(SUMPRODUCT((TEXT('04_廃棄入力'!A3:A200,"YYYY/MM")=A20)*('04_廃棄入力'!E3:E200)),"")</f>
        <v/>
      </c>
    </row>
    <row r="21" ht="18" customHeight="1">
      <c r="A21" s="24" t="n"/>
      <c r="B21" s="26">
        <f>IFERROR(SUMPRODUCT((TEXT('01_売上入力'!A3:A200,"YYYY/MM")=A21)*('01_売上入力'!G3:G200)),"")</f>
        <v/>
      </c>
      <c r="C21" s="44">
        <f>IFERROR(SUMPRODUCT((TEXT('01_売上入力'!A3:A200,"YYYY/MM")=A21)*('01_売上入力'!E3:E200)),"")</f>
        <v/>
      </c>
      <c r="D21" s="40" t="n"/>
      <c r="E21" s="44">
        <f>IFERROR(IF(D21="","",IF(D21=0,"-",B21/D21)),"")</f>
        <v/>
      </c>
      <c r="F21" s="26">
        <f>IFERROR(SUMPRODUCT((TEXT('04_廃棄入力'!A3:A200,"YYYY/MM")=A21)*('04_廃棄入力'!E3:E200)),"")</f>
        <v/>
      </c>
    </row>
    <row r="22" ht="18" customHeight="1">
      <c r="A22" s="24" t="n"/>
      <c r="B22" s="26">
        <f>IFERROR(SUMPRODUCT((TEXT('01_売上入力'!A3:A200,"YYYY/MM")=A22)*('01_売上入力'!G3:G200)),"")</f>
        <v/>
      </c>
      <c r="C22" s="44">
        <f>IFERROR(SUMPRODUCT((TEXT('01_売上入力'!A3:A200,"YYYY/MM")=A22)*('01_売上入力'!E3:E200)),"")</f>
        <v/>
      </c>
      <c r="D22" s="40" t="n"/>
      <c r="E22" s="44">
        <f>IFERROR(IF(D22="","",IF(D22=0,"-",B22/D22)),"")</f>
        <v/>
      </c>
      <c r="F22" s="26">
        <f>IFERROR(SUMPRODUCT((TEXT('04_廃棄入力'!A3:A200,"YYYY/MM")=A22)*('04_廃棄入力'!E3:E200)),"")</f>
        <v/>
      </c>
    </row>
    <row r="23" ht="18" customHeight="1">
      <c r="A23" s="24" t="n"/>
      <c r="B23" s="26">
        <f>IFERROR(SUMPRODUCT((TEXT('01_売上入力'!A3:A200,"YYYY/MM")=A23)*('01_売上入力'!G3:G200)),"")</f>
        <v/>
      </c>
      <c r="C23" s="44">
        <f>IFERROR(SUMPRODUCT((TEXT('01_売上入力'!A3:A200,"YYYY/MM")=A23)*('01_売上入力'!E3:E200)),"")</f>
        <v/>
      </c>
      <c r="D23" s="40" t="n"/>
      <c r="E23" s="44">
        <f>IFERROR(IF(D23="","",IF(D23=0,"-",B23/D23)),"")</f>
        <v/>
      </c>
      <c r="F23" s="26">
        <f>IFERROR(SUMPRODUCT((TEXT('04_廃棄入力'!A3:A200,"YYYY/MM")=A23)*('04_廃棄入力'!E3:E200)),"")</f>
        <v/>
      </c>
    </row>
    <row r="24" ht="18" customHeight="1">
      <c r="A24" s="24" t="n"/>
      <c r="B24" s="26">
        <f>IFERROR(SUMPRODUCT((TEXT('01_売上入力'!A3:A200,"YYYY/MM")=A24)*('01_売上入力'!G3:G200)),"")</f>
        <v/>
      </c>
      <c r="C24" s="44">
        <f>IFERROR(SUMPRODUCT((TEXT('01_売上入力'!A3:A200,"YYYY/MM")=A24)*('01_売上入力'!E3:E200)),"")</f>
        <v/>
      </c>
      <c r="D24" s="40" t="n"/>
      <c r="E24" s="44">
        <f>IFERROR(IF(D24="","",IF(D24=0,"-",B24/D24)),"")</f>
        <v/>
      </c>
      <c r="F24" s="26">
        <f>IFERROR(SUMPRODUCT((TEXT('04_廃棄入力'!A3:A200,"YYYY/MM")=A24)*('04_廃棄入力'!E3:E200)),"")</f>
        <v/>
      </c>
    </row>
    <row r="25" ht="18" customHeight="1">
      <c r="A25" s="24" t="n"/>
      <c r="B25" s="26">
        <f>IFERROR(SUMPRODUCT((TEXT('01_売上入力'!A3:A200,"YYYY/MM")=A25)*('01_売上入力'!G3:G200)),"")</f>
        <v/>
      </c>
      <c r="C25" s="44">
        <f>IFERROR(SUMPRODUCT((TEXT('01_売上入力'!A3:A200,"YYYY/MM")=A25)*('01_売上入力'!E3:E200)),"")</f>
        <v/>
      </c>
      <c r="D25" s="40" t="n"/>
      <c r="E25" s="44">
        <f>IFERROR(IF(D25="","",IF(D25=0,"-",B25/D25)),"")</f>
        <v/>
      </c>
      <c r="F25" s="26">
        <f>IFERROR(SUMPRODUCT((TEXT('04_廃棄入力'!A3:A200,"YYYY/MM")=A25)*('04_廃棄入力'!E3:E200)),"")</f>
        <v/>
      </c>
    </row>
    <row r="26" ht="18" customHeight="1">
      <c r="A26" s="24" t="n"/>
      <c r="B26" s="26">
        <f>IFERROR(SUMPRODUCT((TEXT('01_売上入力'!A3:A200,"YYYY/MM")=A26)*('01_売上入力'!G3:G200)),"")</f>
        <v/>
      </c>
      <c r="C26" s="44">
        <f>IFERROR(SUMPRODUCT((TEXT('01_売上入力'!A3:A200,"YYYY/MM")=A26)*('01_売上入力'!E3:E200)),"")</f>
        <v/>
      </c>
      <c r="D26" s="40" t="n"/>
      <c r="E26" s="44">
        <f>IFERROR(IF(D26="","",IF(D26=0,"-",B26/D26)),"")</f>
        <v/>
      </c>
      <c r="F26" s="26">
        <f>IFERROR(SUMPRODUCT((TEXT('04_廃棄入力'!A3:A200,"YYYY/MM")=A26)*('04_廃棄入力'!E3:E200)),"")</f>
        <v/>
      </c>
    </row>
    <row r="27" ht="18" customHeight="1">
      <c r="A27" s="24" t="n"/>
      <c r="B27" s="26">
        <f>IFERROR(SUMPRODUCT((TEXT('01_売上入力'!A3:A200,"YYYY/MM")=A27)*('01_売上入力'!G3:G200)),"")</f>
        <v/>
      </c>
      <c r="C27" s="44">
        <f>IFERROR(SUMPRODUCT((TEXT('01_売上入力'!A3:A200,"YYYY/MM")=A27)*('01_売上入力'!E3:E200)),"")</f>
        <v/>
      </c>
      <c r="D27" s="40" t="n"/>
      <c r="E27" s="44">
        <f>IFERROR(IF(D27="","",IF(D27=0,"-",B27/D27)),"")</f>
        <v/>
      </c>
      <c r="F27" s="26">
        <f>IFERROR(SUMPRODUCT((TEXT('04_廃棄入力'!A3:A200,"YYYY/MM")=A27)*('04_廃棄入力'!E3:E200)),"")</f>
        <v/>
      </c>
    </row>
    <row r="28" ht="18" customHeight="1">
      <c r="A28" s="24" t="n"/>
      <c r="B28" s="26">
        <f>IFERROR(SUMPRODUCT((TEXT('01_売上入力'!A3:A200,"YYYY/MM")=A28)*('01_売上入力'!G3:G200)),"")</f>
        <v/>
      </c>
      <c r="C28" s="44">
        <f>IFERROR(SUMPRODUCT((TEXT('01_売上入力'!A3:A200,"YYYY/MM")=A28)*('01_売上入力'!E3:E200)),"")</f>
        <v/>
      </c>
      <c r="D28" s="40" t="n"/>
      <c r="E28" s="44">
        <f>IFERROR(IF(D28="","",IF(D28=0,"-",B28/D28)),"")</f>
        <v/>
      </c>
      <c r="F28" s="26">
        <f>IFERROR(SUMPRODUCT((TEXT('04_廃棄入力'!A3:A200,"YYYY/MM")=A28)*('04_廃棄入力'!E3:E200)),"")</f>
        <v/>
      </c>
    </row>
    <row r="29" ht="18" customHeight="1">
      <c r="A29" s="24" t="n"/>
      <c r="B29" s="26">
        <f>IFERROR(SUMPRODUCT((TEXT('01_売上入力'!A3:A200,"YYYY/MM")=A29)*('01_売上入力'!G3:G200)),"")</f>
        <v/>
      </c>
      <c r="C29" s="44">
        <f>IFERROR(SUMPRODUCT((TEXT('01_売上入力'!A3:A200,"YYYY/MM")=A29)*('01_売上入力'!E3:E200)),"")</f>
        <v/>
      </c>
      <c r="D29" s="40" t="n"/>
      <c r="E29" s="44">
        <f>IFERROR(IF(D29="","",IF(D29=0,"-",B29/D29)),"")</f>
        <v/>
      </c>
      <c r="F29" s="26">
        <f>IFERROR(SUMPRODUCT((TEXT('04_廃棄入力'!A3:A200,"YYYY/MM")=A29)*('04_廃棄入力'!E3:E200)),"")</f>
        <v/>
      </c>
    </row>
    <row r="30" ht="18" customHeight="1">
      <c r="A30" s="24" t="n"/>
      <c r="B30" s="26">
        <f>IFERROR(SUMPRODUCT((TEXT('01_売上入力'!A3:A200,"YYYY/MM")=A30)*('01_売上入力'!G3:G200)),"")</f>
        <v/>
      </c>
      <c r="C30" s="44">
        <f>IFERROR(SUMPRODUCT((TEXT('01_売上入力'!A3:A200,"YYYY/MM")=A30)*('01_売上入力'!E3:E200)),"")</f>
        <v/>
      </c>
      <c r="D30" s="40" t="n"/>
      <c r="E30" s="44">
        <f>IFERROR(IF(D30="","",IF(D30=0,"-",B30/D30)),"")</f>
        <v/>
      </c>
      <c r="F30" s="26">
        <f>IFERROR(SUMPRODUCT((TEXT('04_廃棄入力'!A3:A200,"YYYY/MM")=A30)*('04_廃棄入力'!E3:E200)),"")</f>
        <v/>
      </c>
    </row>
    <row r="31" ht="18" customHeight="1">
      <c r="A31" s="24" t="n"/>
      <c r="B31" s="26">
        <f>IFERROR(SUMPRODUCT((TEXT('01_売上入力'!A3:A200,"YYYY/MM")=A31)*('01_売上入力'!G3:G200)),"")</f>
        <v/>
      </c>
      <c r="C31" s="44">
        <f>IFERROR(SUMPRODUCT((TEXT('01_売上入力'!A3:A200,"YYYY/MM")=A31)*('01_売上入力'!E3:E200)),"")</f>
        <v/>
      </c>
      <c r="D31" s="40" t="n"/>
      <c r="E31" s="44">
        <f>IFERROR(IF(D31="","",IF(D31=0,"-",B31/D31)),"")</f>
        <v/>
      </c>
      <c r="F31" s="26">
        <f>IFERROR(SUMPRODUCT((TEXT('04_廃棄入力'!A3:A200,"YYYY/MM")=A31)*('04_廃棄入力'!E3:E200)),"")</f>
        <v/>
      </c>
    </row>
    <row r="32" ht="18" customHeight="1">
      <c r="A32" s="24" t="n"/>
      <c r="B32" s="26">
        <f>IFERROR(SUMPRODUCT((TEXT('01_売上入力'!A3:A200,"YYYY/MM")=A32)*('01_売上入力'!G3:G200)),"")</f>
        <v/>
      </c>
      <c r="C32" s="44">
        <f>IFERROR(SUMPRODUCT((TEXT('01_売上入力'!A3:A200,"YYYY/MM")=A32)*('01_売上入力'!E3:E200)),"")</f>
        <v/>
      </c>
      <c r="D32" s="40" t="n"/>
      <c r="E32" s="44">
        <f>IFERROR(IF(D32="","",IF(D32=0,"-",B32/D32)),"")</f>
        <v/>
      </c>
      <c r="F32" s="26">
        <f>IFERROR(SUMPRODUCT((TEXT('04_廃棄入力'!A3:A200,"YYYY/MM")=A32)*('04_廃棄入力'!E3:E200)),"")</f>
        <v/>
      </c>
    </row>
    <row r="33" ht="18" customHeight="1">
      <c r="A33" s="24" t="n"/>
      <c r="B33" s="26">
        <f>IFERROR(SUMPRODUCT((TEXT('01_売上入力'!A3:A200,"YYYY/MM")=A33)*('01_売上入力'!G3:G200)),"")</f>
        <v/>
      </c>
      <c r="C33" s="44">
        <f>IFERROR(SUMPRODUCT((TEXT('01_売上入力'!A3:A200,"YYYY/MM")=A33)*('01_売上入力'!E3:E200)),"")</f>
        <v/>
      </c>
      <c r="D33" s="40" t="n"/>
      <c r="E33" s="44">
        <f>IFERROR(IF(D33="","",IF(D33=0,"-",B33/D33)),"")</f>
        <v/>
      </c>
      <c r="F33" s="26">
        <f>IFERROR(SUMPRODUCT((TEXT('04_廃棄入力'!A3:A200,"YYYY/MM")=A33)*('04_廃棄入力'!E3:E200)),"")</f>
        <v/>
      </c>
    </row>
    <row r="34" ht="18" customHeight="1">
      <c r="A34" s="24" t="n"/>
      <c r="B34" s="26">
        <f>IFERROR(SUMPRODUCT((TEXT('01_売上入力'!A3:A200,"YYYY/MM")=A34)*('01_売上入力'!G3:G200)),"")</f>
        <v/>
      </c>
      <c r="C34" s="44">
        <f>IFERROR(SUMPRODUCT((TEXT('01_売上入力'!A3:A200,"YYYY/MM")=A34)*('01_売上入力'!E3:E200)),"")</f>
        <v/>
      </c>
      <c r="D34" s="40" t="n"/>
      <c r="E34" s="44">
        <f>IFERROR(IF(D34="","",IF(D34=0,"-",B34/D34)),"")</f>
        <v/>
      </c>
      <c r="F34" s="26">
        <f>IFERROR(SUMPRODUCT((TEXT('04_廃棄入力'!A3:A200,"YYYY/MM")=A34)*('04_廃棄入力'!E3:E200)),"")</f>
        <v/>
      </c>
    </row>
    <row r="35" ht="18" customHeight="1">
      <c r="A35" s="24" t="n"/>
      <c r="B35" s="26">
        <f>IFERROR(SUMPRODUCT((TEXT('01_売上入力'!A3:A200,"YYYY/MM")=A35)*('01_売上入力'!G3:G200)),"")</f>
        <v/>
      </c>
      <c r="C35" s="44">
        <f>IFERROR(SUMPRODUCT((TEXT('01_売上入力'!A3:A200,"YYYY/MM")=A35)*('01_売上入力'!E3:E200)),"")</f>
        <v/>
      </c>
      <c r="D35" s="40" t="n"/>
      <c r="E35" s="44">
        <f>IFERROR(IF(D35="","",IF(D35=0,"-",B35/D35)),"")</f>
        <v/>
      </c>
      <c r="F35" s="26">
        <f>IFERROR(SUMPRODUCT((TEXT('04_廃棄入力'!A3:A200,"YYYY/MM")=A35)*('04_廃棄入力'!E3:E200)),"")</f>
        <v/>
      </c>
    </row>
    <row r="36" ht="18" customHeight="1">
      <c r="A36" s="24" t="n"/>
      <c r="B36" s="26">
        <f>IFERROR(SUMPRODUCT((TEXT('01_売上入力'!A3:A200,"YYYY/MM")=A36)*('01_売上入力'!G3:G200)),"")</f>
        <v/>
      </c>
      <c r="C36" s="44">
        <f>IFERROR(SUMPRODUCT((TEXT('01_売上入力'!A3:A200,"YYYY/MM")=A36)*('01_売上入力'!E3:E200)),"")</f>
        <v/>
      </c>
      <c r="D36" s="40" t="n"/>
      <c r="E36" s="44">
        <f>IFERROR(IF(D36="","",IF(D36=0,"-",B36/D36)),"")</f>
        <v/>
      </c>
      <c r="F36" s="26">
        <f>IFERROR(SUMPRODUCT((TEXT('04_廃棄入力'!A3:A200,"YYYY/MM")=A36)*('04_廃棄入力'!E3:E200)),"")</f>
        <v/>
      </c>
    </row>
    <row r="37" ht="18" customHeight="1">
      <c r="A37" s="24" t="n"/>
      <c r="B37" s="26">
        <f>IFERROR(SUMPRODUCT((TEXT('01_売上入力'!A3:A200,"YYYY/MM")=A37)*('01_売上入力'!G3:G200)),"")</f>
        <v/>
      </c>
      <c r="C37" s="44">
        <f>IFERROR(SUMPRODUCT((TEXT('01_売上入力'!A3:A200,"YYYY/MM")=A37)*('01_売上入力'!E3:E200)),"")</f>
        <v/>
      </c>
      <c r="D37" s="40" t="n"/>
      <c r="E37" s="44">
        <f>IFERROR(IF(D37="","",IF(D37=0,"-",B37/D37)),"")</f>
        <v/>
      </c>
      <c r="F37" s="26">
        <f>IFERROR(SUMPRODUCT((TEXT('04_廃棄入力'!A3:A200,"YYYY/MM")=A37)*('04_廃棄入力'!E3:E200)),"")</f>
        <v/>
      </c>
    </row>
    <row r="38" ht="18" customHeight="1">
      <c r="A38" s="24" t="n"/>
      <c r="B38" s="26">
        <f>IFERROR(SUMPRODUCT((TEXT('01_売上入力'!A3:A200,"YYYY/MM")=A38)*('01_売上入力'!G3:G200)),"")</f>
        <v/>
      </c>
      <c r="C38" s="44">
        <f>IFERROR(SUMPRODUCT((TEXT('01_売上入力'!A3:A200,"YYYY/MM")=A38)*('01_売上入力'!E3:E200)),"")</f>
        <v/>
      </c>
      <c r="D38" s="40" t="n"/>
      <c r="E38" s="44">
        <f>IFERROR(IF(D38="","",IF(D38=0,"-",B38/D38)),"")</f>
        <v/>
      </c>
      <c r="F38" s="26">
        <f>IFERROR(SUMPRODUCT((TEXT('04_廃棄入力'!A3:A200,"YYYY/MM")=A38)*('04_廃棄入力'!E3:E200)),"")</f>
        <v/>
      </c>
    </row>
    <row r="39" ht="18" customHeight="1">
      <c r="A39" s="24" t="n"/>
      <c r="B39" s="26">
        <f>IFERROR(SUMPRODUCT((TEXT('01_売上入力'!A3:A200,"YYYY/MM")=A39)*('01_売上入力'!G3:G200)),"")</f>
        <v/>
      </c>
      <c r="C39" s="44">
        <f>IFERROR(SUMPRODUCT((TEXT('01_売上入力'!A3:A200,"YYYY/MM")=A39)*('01_売上入力'!E3:E200)),"")</f>
        <v/>
      </c>
      <c r="D39" s="40" t="n"/>
      <c r="E39" s="44">
        <f>IFERROR(IF(D39="","",IF(D39=0,"-",B39/D39)),"")</f>
        <v/>
      </c>
      <c r="F39" s="26">
        <f>IFERROR(SUMPRODUCT((TEXT('04_廃棄入力'!A3:A200,"YYYY/MM")=A39)*('04_廃棄入力'!E3:E200)),"")</f>
        <v/>
      </c>
    </row>
    <row r="40" ht="18" customHeight="1">
      <c r="A40" s="24" t="n"/>
      <c r="B40" s="26">
        <f>IFERROR(SUMPRODUCT((TEXT('01_売上入力'!A3:A200,"YYYY/MM")=A40)*('01_売上入力'!G3:G200)),"")</f>
        <v/>
      </c>
      <c r="C40" s="44">
        <f>IFERROR(SUMPRODUCT((TEXT('01_売上入力'!A3:A200,"YYYY/MM")=A40)*('01_売上入力'!E3:E200)),"")</f>
        <v/>
      </c>
      <c r="D40" s="40" t="n"/>
      <c r="E40" s="44">
        <f>IFERROR(IF(D40="","",IF(D40=0,"-",B40/D40)),"")</f>
        <v/>
      </c>
      <c r="F40" s="26">
        <f>IFERROR(SUMPRODUCT((TEXT('04_廃棄入力'!A3:A200,"YYYY/MM")=A40)*('04_廃棄入力'!E3:E200)),"")</f>
        <v/>
      </c>
    </row>
    <row r="41" ht="18" customHeight="1">
      <c r="A41" s="24" t="n"/>
      <c r="B41" s="26">
        <f>IFERROR(SUMPRODUCT((TEXT('01_売上入力'!A3:A200,"YYYY/MM")=A41)*('01_売上入力'!G3:G200)),"")</f>
        <v/>
      </c>
      <c r="C41" s="44">
        <f>IFERROR(SUMPRODUCT((TEXT('01_売上入力'!A3:A200,"YYYY/MM")=A41)*('01_売上入力'!E3:E200)),"")</f>
        <v/>
      </c>
      <c r="D41" s="40" t="n"/>
      <c r="E41" s="44">
        <f>IFERROR(IF(D41="","",IF(D41=0,"-",B41/D41)),"")</f>
        <v/>
      </c>
      <c r="F41" s="26">
        <f>IFERROR(SUMPRODUCT((TEXT('04_廃棄入力'!A3:A200,"YYYY/MM")=A41)*('04_廃棄入力'!E3:E200)),"")</f>
        <v/>
      </c>
    </row>
    <row r="42" ht="18" customHeight="1">
      <c r="A42" s="24" t="n"/>
      <c r="B42" s="26">
        <f>IFERROR(SUMPRODUCT((TEXT('01_売上入力'!A3:A200,"YYYY/MM")=A42)*('01_売上入力'!G3:G200)),"")</f>
        <v/>
      </c>
      <c r="C42" s="44">
        <f>IFERROR(SUMPRODUCT((TEXT('01_売上入力'!A3:A200,"YYYY/MM")=A42)*('01_売上入力'!E3:E200)),"")</f>
        <v/>
      </c>
      <c r="D42" s="40" t="n"/>
      <c r="E42" s="44">
        <f>IFERROR(IF(D42="","",IF(D42=0,"-",B42/D42)),"")</f>
        <v/>
      </c>
      <c r="F42" s="26">
        <f>IFERROR(SUMPRODUCT((TEXT('04_廃棄入力'!A3:A200,"YYYY/MM")=A42)*('04_廃棄入力'!E3:E200)),"")</f>
        <v/>
      </c>
    </row>
    <row r="43" ht="18" customHeight="1">
      <c r="A43" s="24" t="n"/>
      <c r="B43" s="26">
        <f>IFERROR(SUMPRODUCT((TEXT('01_売上入力'!A3:A200,"YYYY/MM")=A43)*('01_売上入力'!G3:G200)),"")</f>
        <v/>
      </c>
      <c r="C43" s="44">
        <f>IFERROR(SUMPRODUCT((TEXT('01_売上入力'!A3:A200,"YYYY/MM")=A43)*('01_売上入力'!E3:E200)),"")</f>
        <v/>
      </c>
      <c r="D43" s="40" t="n"/>
      <c r="E43" s="44">
        <f>IFERROR(IF(D43="","",IF(D43=0,"-",B43/D43)),"")</f>
        <v/>
      </c>
      <c r="F43" s="26">
        <f>IFERROR(SUMPRODUCT((TEXT('04_廃棄入力'!A3:A200,"YYYY/MM")=A43)*('04_廃棄入力'!E3:E200)),"")</f>
        <v/>
      </c>
    </row>
    <row r="44" ht="18" customHeight="1">
      <c r="A44" s="24" t="n"/>
      <c r="B44" s="26">
        <f>IFERROR(SUMPRODUCT((TEXT('01_売上入力'!A3:A200,"YYYY/MM")=A44)*('01_売上入力'!G3:G200)),"")</f>
        <v/>
      </c>
      <c r="C44" s="44">
        <f>IFERROR(SUMPRODUCT((TEXT('01_売上入力'!A3:A200,"YYYY/MM")=A44)*('01_売上入力'!E3:E200)),"")</f>
        <v/>
      </c>
      <c r="D44" s="40" t="n"/>
      <c r="E44" s="44">
        <f>IFERROR(IF(D44="","",IF(D44=0,"-",B44/D44)),"")</f>
        <v/>
      </c>
      <c r="F44" s="26">
        <f>IFERROR(SUMPRODUCT((TEXT('04_廃棄入力'!A3:A200,"YYYY/MM")=A44)*('04_廃棄入力'!E3:E200)),"")</f>
        <v/>
      </c>
    </row>
    <row r="45" ht="18" customHeight="1">
      <c r="A45" s="24" t="n"/>
      <c r="B45" s="26">
        <f>IFERROR(SUMPRODUCT((TEXT('01_売上入力'!A3:A200,"YYYY/MM")=A45)*('01_売上入力'!G3:G200)),"")</f>
        <v/>
      </c>
      <c r="C45" s="44">
        <f>IFERROR(SUMPRODUCT((TEXT('01_売上入力'!A3:A200,"YYYY/MM")=A45)*('01_売上入力'!E3:E200)),"")</f>
        <v/>
      </c>
      <c r="D45" s="40" t="n"/>
      <c r="E45" s="44">
        <f>IFERROR(IF(D45="","",IF(D45=0,"-",B45/D45)),"")</f>
        <v/>
      </c>
      <c r="F45" s="26">
        <f>IFERROR(SUMPRODUCT((TEXT('04_廃棄入力'!A3:A200,"YYYY/MM")=A45)*('04_廃棄入力'!E3:E200)),"")</f>
        <v/>
      </c>
    </row>
    <row r="46" ht="18" customHeight="1">
      <c r="A46" s="24" t="n"/>
      <c r="B46" s="26">
        <f>IFERROR(SUMPRODUCT((TEXT('01_売上入力'!A3:A200,"YYYY/MM")=A46)*('01_売上入力'!G3:G200)),"")</f>
        <v/>
      </c>
      <c r="C46" s="44">
        <f>IFERROR(SUMPRODUCT((TEXT('01_売上入力'!A3:A200,"YYYY/MM")=A46)*('01_売上入力'!E3:E200)),"")</f>
        <v/>
      </c>
      <c r="D46" s="40" t="n"/>
      <c r="E46" s="44">
        <f>IFERROR(IF(D46="","",IF(D46=0,"-",B46/D46)),"")</f>
        <v/>
      </c>
      <c r="F46" s="26">
        <f>IFERROR(SUMPRODUCT((TEXT('04_廃棄入力'!A3:A200,"YYYY/MM")=A46)*('04_廃棄入力'!E3:E200)),"")</f>
        <v/>
      </c>
    </row>
    <row r="47" ht="18" customHeight="1">
      <c r="A47" s="24" t="n"/>
      <c r="B47" s="26">
        <f>IFERROR(SUMPRODUCT((TEXT('01_売上入力'!A3:A200,"YYYY/MM")=A47)*('01_売上入力'!G3:G200)),"")</f>
        <v/>
      </c>
      <c r="C47" s="44">
        <f>IFERROR(SUMPRODUCT((TEXT('01_売上入力'!A3:A200,"YYYY/MM")=A47)*('01_売上入力'!E3:E200)),"")</f>
        <v/>
      </c>
      <c r="D47" s="40" t="n"/>
      <c r="E47" s="44">
        <f>IFERROR(IF(D47="","",IF(D47=0,"-",B47/D47)),"")</f>
        <v/>
      </c>
      <c r="F47" s="26">
        <f>IFERROR(SUMPRODUCT((TEXT('04_廃棄入力'!A3:A200,"YYYY/MM")=A47)*('04_廃棄入力'!E3:E200)),"")</f>
        <v/>
      </c>
    </row>
    <row r="48" ht="18" customHeight="1">
      <c r="A48" s="24" t="n"/>
      <c r="B48" s="26">
        <f>IFERROR(SUMPRODUCT((TEXT('01_売上入力'!A3:A200,"YYYY/MM")=A48)*('01_売上入力'!G3:G200)),"")</f>
        <v/>
      </c>
      <c r="C48" s="44">
        <f>IFERROR(SUMPRODUCT((TEXT('01_売上入力'!A3:A200,"YYYY/MM")=A48)*('01_売上入力'!E3:E200)),"")</f>
        <v/>
      </c>
      <c r="D48" s="40" t="n"/>
      <c r="E48" s="44">
        <f>IFERROR(IF(D48="","",IF(D48=0,"-",B48/D48)),"")</f>
        <v/>
      </c>
      <c r="F48" s="26">
        <f>IFERROR(SUMPRODUCT((TEXT('04_廃棄入力'!A3:A200,"YYYY/MM")=A48)*('04_廃棄入力'!E3:E200)),"")</f>
        <v/>
      </c>
    </row>
    <row r="49" ht="18" customHeight="1">
      <c r="A49" s="24" t="n"/>
      <c r="B49" s="26">
        <f>IFERROR(SUMPRODUCT((TEXT('01_売上入力'!A3:A200,"YYYY/MM")=A49)*('01_売上入力'!G3:G200)),"")</f>
        <v/>
      </c>
      <c r="C49" s="44">
        <f>IFERROR(SUMPRODUCT((TEXT('01_売上入力'!A3:A200,"YYYY/MM")=A49)*('01_売上入力'!E3:E200)),"")</f>
        <v/>
      </c>
      <c r="D49" s="40" t="n"/>
      <c r="E49" s="44">
        <f>IFERROR(IF(D49="","",IF(D49=0,"-",B49/D49)),"")</f>
        <v/>
      </c>
      <c r="F49" s="26">
        <f>IFERROR(SUMPRODUCT((TEXT('04_廃棄入力'!A3:A200,"YYYY/MM")=A49)*('04_廃棄入力'!E3:E200)),"")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FF0000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8" customWidth="1" min="3" max="3"/>
    <col width="28" customWidth="1" min="4" max="4"/>
    <col width="10" customWidth="1" min="5" max="5"/>
  </cols>
  <sheetData>
    <row r="1" ht="22" customHeight="1">
      <c r="A1" s="1" t="inlineStr">
        <is>
          <t>08  改善提案　―　AIへの貼り付け用・経営課題の整理</t>
        </is>
      </c>
    </row>
    <row r="2">
      <c r="A2" s="36" t="inlineStr">
        <is>
          <t>分析区分</t>
        </is>
      </c>
      <c r="B2" s="36" t="inlineStr">
        <is>
          <t>問題・指標</t>
        </is>
      </c>
      <c r="C2" s="36" t="inlineStr">
        <is>
          <t>考えられる原因</t>
        </is>
      </c>
      <c r="D2" s="36" t="inlineStr">
        <is>
          <t>改善案</t>
        </is>
      </c>
      <c r="E2" s="36" t="inlineStr">
        <is>
          <t>優先度</t>
        </is>
      </c>
    </row>
    <row r="3" ht="40" customHeight="1">
      <c r="A3" s="45" t="inlineStr">
        <is>
          <t>利益</t>
        </is>
      </c>
      <c r="B3" s="45">
        <f>IFERROR("粗利率最低商品: "&amp;INDEX('02_商品マスタ'!B:B,MATCH(MIN('02_商品マスタ'!I:I),'02_商品マスタ'!I:I,0)),"データなし")</f>
        <v/>
      </c>
      <c r="C3" s="45" t="inlineStr">
        <is>
          <t>原価高騰 / 販売価格が低い</t>
        </is>
      </c>
      <c r="D3" s="45" t="inlineStr">
        <is>
          <t>値上げ検討 or 原価見直し</t>
        </is>
      </c>
      <c r="E3" s="46" t="inlineStr">
        <is>
          <t>高</t>
        </is>
      </c>
    </row>
    <row r="4" ht="40" customHeight="1">
      <c r="A4" s="45" t="inlineStr">
        <is>
          <t>廃棄</t>
        </is>
      </c>
      <c r="B4" s="45">
        <f>IFERROR("廃棄金額合計: "&amp;TEXT(SUM('04_廃棄入力'!E:E),"#,##0")&amp;"円","データなし")</f>
        <v/>
      </c>
      <c r="C4" s="45" t="inlineStr">
        <is>
          <t>製造数が需要を上回っている</t>
        </is>
      </c>
      <c r="D4" s="45" t="inlineStr">
        <is>
          <t>製造数を販売実績に合わせて削減</t>
        </is>
      </c>
      <c r="E4" s="46" t="inlineStr">
        <is>
          <t>高</t>
        </is>
      </c>
    </row>
    <row r="5" ht="40" customHeight="1">
      <c r="A5" s="45" t="inlineStr">
        <is>
          <t>製造</t>
        </is>
      </c>
      <c r="B5" s="45">
        <f>IFERROR("最も製造時間がかかる商品: "&amp;INDEX('05_製造時間'!A:A,MATCH(MAX('05_製造時間'!E:E),'05_製造時間'!E:E,0)),"データなし")</f>
        <v/>
      </c>
      <c r="C5" s="45" t="inlineStr">
        <is>
          <t>工程が複雑 / 人手不足</t>
        </is>
      </c>
      <c r="D5" s="45" t="inlineStr">
        <is>
          <t>製造工程の見直し or 販売終了検討</t>
        </is>
      </c>
      <c r="E5" s="47" t="inlineStr">
        <is>
          <t>中</t>
        </is>
      </c>
    </row>
    <row r="6" ht="40" customHeight="1">
      <c r="A6" s="45" t="inlineStr">
        <is>
          <t>人件費</t>
        </is>
      </c>
      <c r="B6" s="45">
        <f>IFERROR("人件費合計: "&amp;TEXT(SUM('06_人件費'!G:G),"#,##0")&amp;"円","データなし")</f>
        <v/>
      </c>
      <c r="C6" s="45" t="inlineStr">
        <is>
          <t>シフト過多 / 残業</t>
        </is>
      </c>
      <c r="D6" s="45" t="inlineStr">
        <is>
          <t>売上ピーク時間帯に集中したシフト設計</t>
        </is>
      </c>
      <c r="E6" s="47" t="inlineStr">
        <is>
          <t>中</t>
        </is>
      </c>
    </row>
    <row r="7" ht="40" customHeight="1">
      <c r="A7" s="45" t="inlineStr">
        <is>
          <t>時間帯</t>
        </is>
      </c>
      <c r="B7" s="45" t="inlineStr">
        <is>
          <t>ピーク時間帯の売上集中確認</t>
        </is>
      </c>
      <c r="C7" s="45" t="inlineStr">
        <is>
          <t>焼成タイミングとピーク時間がズレている</t>
        </is>
      </c>
      <c r="D7" s="45" t="inlineStr">
        <is>
          <t>時間帯別データを元に焼成スケジュールを調整</t>
        </is>
      </c>
      <c r="E7" s="46" t="inlineStr">
        <is>
          <t>高</t>
        </is>
      </c>
    </row>
    <row r="10" ht="60" customHeight="1">
      <c r="A10" s="48" t="inlineStr">
        <is>
          <t>【Claude / ChatGPT への貼り付け方】
このシートの内容をコピーして以下のプロンプトと一緒に貼り付けてください：
「以下はパン屋の経営データ分析です。改善策を具体的に提案してください。」</t>
        </is>
      </c>
    </row>
  </sheetData>
  <mergeCells count="2"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2026-05-28T12:45:09Z</dcterms:created>
  <dcterms:modified xsi:type="dcterms:W3CDTF">2026-05-28T12:45:09Z</dcterms:modified>
</cp:coreProperties>
</file>